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ight" sheetId="1" state="visible" r:id="rId3"/>
    <sheet name="Cost" sheetId="2" state="visible" r:id="rId4"/>
    <sheet name="Hours" sheetId="3" state="visible" r:id="rId5"/>
    <sheet name="Performa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<sst xmlns="http://schemas.openxmlformats.org/spreadsheetml/2006/main" count="311" uniqueCount="229">
  <si>
    <t xml:space="preserve">Sky Pup / Airbike Derivative - Weight and Balance</t>
  </si>
  <si>
    <t xml:space="preserve">130 sq ft 3-piece wood wing, welded 4130 fuselage, 2-axis + spoilerons, tricycle gear, Hirth F-33.</t>
  </si>
  <si>
    <t xml:space="preserve">Datum = prop plane. Wing LE sta 48, chord 50 in. Blue=estimate, yellow=type measured, it overrides.</t>
  </si>
  <si>
    <t xml:space="preserve">Column '103 Strip' is the weight of that item in the Part 103 configuration. 0 means deleted.</t>
  </si>
  <si>
    <t xml:space="preserve">Item</t>
  </si>
  <si>
    <t xml:space="preserve">Group</t>
  </si>
  <si>
    <t xml:space="preserve">Est lb</t>
  </si>
  <si>
    <t xml:space="preserve">Measured lb</t>
  </si>
  <si>
    <t xml:space="preserve">Used lb</t>
  </si>
  <si>
    <t xml:space="preserve">Station</t>
  </si>
  <si>
    <t xml:space="preserve">Moment</t>
  </si>
  <si>
    <t xml:space="preserve">103 Strip lb</t>
  </si>
  <si>
    <t xml:space="preserve">Spar: 1.25 sch40 caps, wrapped web, rivets</t>
  </si>
  <si>
    <t xml:space="preserve">Wing</t>
  </si>
  <si>
    <t xml:space="preserve">Ribs, 31 ea, Douglas fir truss</t>
  </si>
  <si>
    <t xml:space="preserve">D-tube leading edge, 1/16 birch ply</t>
  </si>
  <si>
    <t xml:space="preserve">Rear spar / spoileron hinge spar</t>
  </si>
  <si>
    <t xml:space="preserve">Trailing edge stock</t>
  </si>
  <si>
    <t xml:space="preserve">Joint rods, sleeves, 8 bolts</t>
  </si>
  <si>
    <t xml:space="preserve">Spoilerons, hinges, return springs</t>
  </si>
  <si>
    <t xml:space="preserve">Fabric and finish, 260 sq ft</t>
  </si>
  <si>
    <t xml:space="preserve">Wing misc hardware</t>
  </si>
  <si>
    <t xml:space="preserve">4130 longerons, verticals, diagonals</t>
  </si>
  <si>
    <t xml:space="preserve">Fuselage</t>
  </si>
  <si>
    <t xml:space="preserve">Cluster gussets and brackets</t>
  </si>
  <si>
    <t xml:space="preserve">Structural nose bow</t>
  </si>
  <si>
    <t xml:space="preserve">Rollover hoop</t>
  </si>
  <si>
    <t xml:space="preserve">Seat structure and Confor foam</t>
  </si>
  <si>
    <t xml:space="preserve">5-point harness</t>
  </si>
  <si>
    <t xml:space="preserve">Turtledeck formers</t>
  </si>
  <si>
    <t xml:space="preserve">Fuselage fabric and finish, 100 sq ft</t>
  </si>
  <si>
    <t xml:space="preserve">Windshield</t>
  </si>
  <si>
    <t xml:space="preserve">Horizontal stab and elevator, 30 sq ft</t>
  </si>
  <si>
    <t xml:space="preserve">Tail</t>
  </si>
  <si>
    <t xml:space="preserve">Vertical fin and rudder, 15 sq ft</t>
  </si>
  <si>
    <t xml:space="preserve">Tail attach fittings</t>
  </si>
  <si>
    <t xml:space="preserve">Sprung 4130 main gear legs</t>
  </si>
  <si>
    <t xml:space="preserve">Gear</t>
  </si>
  <si>
    <t xml:space="preserve">Main wheels and tires</t>
  </si>
  <si>
    <t xml:space="preserve">Bicycle hydraulic brakes and adapters</t>
  </si>
  <si>
    <t xml:space="preserve">Nose gear leg, wheel, steering</t>
  </si>
  <si>
    <t xml:space="preserve">Gear mounts and fittings</t>
  </si>
  <si>
    <t xml:space="preserve">Stick, elevator run, bellcranks</t>
  </si>
  <si>
    <t xml:space="preserve">Controls</t>
  </si>
  <si>
    <t xml:space="preserve">Rudder pedals and cables</t>
  </si>
  <si>
    <t xml:space="preserve">Spoileron cables, pulleys, springs</t>
  </si>
  <si>
    <t xml:space="preserve">Hirth F-33, 28 hp, incl exhaust</t>
  </si>
  <si>
    <t xml:space="preserve">Power</t>
  </si>
  <si>
    <t xml:space="preserve">Belt reduction drive</t>
  </si>
  <si>
    <t xml:space="preserve">Propeller, wood, 60 in</t>
  </si>
  <si>
    <t xml:space="preserve">Engine mount</t>
  </si>
  <si>
    <t xml:space="preserve">Fuel tank, lines, shutoff</t>
  </si>
  <si>
    <t xml:space="preserve">Junco, tablet, mount</t>
  </si>
  <si>
    <t xml:space="preserve">Systems</t>
  </si>
  <si>
    <t xml:space="preserve">Wiring, switches, master</t>
  </si>
  <si>
    <t xml:space="preserve">BRS hard points and bridle channel</t>
  </si>
  <si>
    <t xml:space="preserve">AN hardware, paint, placards</t>
  </si>
  <si>
    <t xml:space="preserve">EMPTY WEIGHT</t>
  </si>
  <si>
    <t xml:space="preserve">Empty CG is in the Station column. Part 103 limit is 254 lb.</t>
  </si>
  <si>
    <t xml:space="preserve">BY GROUP</t>
  </si>
  <si>
    <t xml:space="preserve">lb</t>
  </si>
  <si>
    <t xml:space="preserve">% of empty</t>
  </si>
  <si>
    <t xml:space="preserve">103 lb</t>
  </si>
  <si>
    <t xml:space="preserve">LOADED CG CASES</t>
  </si>
  <si>
    <t xml:space="preserve">Pilot station</t>
  </si>
  <si>
    <t xml:space="preserve">Fuel station</t>
  </si>
  <si>
    <t xml:space="preserve">Wing LE station</t>
  </si>
  <si>
    <t xml:space="preserve">Target CG 25-35% MAC. Move this to trim the CG.</t>
  </si>
  <si>
    <t xml:space="preserve">Case</t>
  </si>
  <si>
    <t xml:space="preserve">Pilot lb</t>
  </si>
  <si>
    <t xml:space="preserve">Fuel lb</t>
  </si>
  <si>
    <t xml:space="preserve">Gross lb</t>
  </si>
  <si>
    <t xml:space="preserve">CG in</t>
  </si>
  <si>
    <t xml:space="preserve">% MAC</t>
  </si>
  <si>
    <t xml:space="preserve">Allen, full fuel</t>
  </si>
  <si>
    <t xml:space="preserve">Allen, no fuel</t>
  </si>
  <si>
    <t xml:space="preserve">220 lb pilot</t>
  </si>
  <si>
    <t xml:space="preserve">130 lb pilot</t>
  </si>
  <si>
    <t xml:space="preserve">Bill of Materials</t>
  </si>
  <si>
    <t xml:space="preserve">OnlineMetals for 6061 and 4130, lumber yard for select vertical grain Douglas fir.</t>
  </si>
  <si>
    <t xml:space="preserve">Category</t>
  </si>
  <si>
    <t xml:space="preserve">Est $</t>
  </si>
  <si>
    <t xml:space="preserve">Actual $</t>
  </si>
  <si>
    <t xml:space="preserve">Used $</t>
  </si>
  <si>
    <t xml:space="preserve">Note</t>
  </si>
  <si>
    <t xml:space="preserve">1.25 sch40 6061-T6 spar caps, 62 ft</t>
  </si>
  <si>
    <t xml:space="preserve">Verify 6061-T6, not 6063</t>
  </si>
  <si>
    <t xml:space="preserve">0.020 6061 web sheet plus rivets</t>
  </si>
  <si>
    <t xml:space="preserve">Douglas fir, truss ribs and wing structure</t>
  </si>
  <si>
    <t xml:space="preserve">Lumber yard, VG, 6+ rings/in</t>
  </si>
  <si>
    <t xml:space="preserve">1/16 birch ply, D-tube</t>
  </si>
  <si>
    <t xml:space="preserve">Rear spar tube and trailing edge</t>
  </si>
  <si>
    <t xml:space="preserve">Joint rods, sleeves, AN bolts</t>
  </si>
  <si>
    <t xml:space="preserve">Machine shop stock</t>
  </si>
  <si>
    <t xml:space="preserve">Spoileron hinges, springs, cable</t>
  </si>
  <si>
    <t xml:space="preserve">4130 tube, fuselage</t>
  </si>
  <si>
    <t xml:space="preserve">4130 tube, tail surfaces</t>
  </si>
  <si>
    <t xml:space="preserve">Welding gas and filler</t>
  </si>
  <si>
    <t xml:space="preserve">Windshield polycarbonate</t>
  </si>
  <si>
    <t xml:space="preserve">Seat, Confor foam, 5-point harness</t>
  </si>
  <si>
    <t xml:space="preserve">Stewart Systems fabric and finish, 430 sq ft</t>
  </si>
  <si>
    <t xml:space="preserve">Covering</t>
  </si>
  <si>
    <t xml:space="preserve">Waterborne</t>
  </si>
  <si>
    <t xml:space="preserve">Hirth F-33 with belt redrive</t>
  </si>
  <si>
    <t xml:space="preserve">Used runs ~2500. See options below</t>
  </si>
  <si>
    <t xml:space="preserve">Fuel tank, lines, shutoff, filter</t>
  </si>
  <si>
    <t xml:space="preserve">Main wheels and tires, no brakes</t>
  </si>
  <si>
    <t xml:space="preserve">Bicycle hydraulic disc brakes x2</t>
  </si>
  <si>
    <t xml:space="preserve">DH grade, 203mm rotors</t>
  </si>
  <si>
    <t xml:space="preserve">Rotor-to-hub adapters, material</t>
  </si>
  <si>
    <t xml:space="preserve">Machine yourself</t>
  </si>
  <si>
    <t xml:space="preserve">Nose gear, wheel, steering linkage</t>
  </si>
  <si>
    <t xml:space="preserve">4130 sprung gear leg stock</t>
  </si>
  <si>
    <t xml:space="preserve">Cables, pulleys, rod ends, stick, pedals</t>
  </si>
  <si>
    <t xml:space="preserve">AN hardware, bolts, nuts, washers</t>
  </si>
  <si>
    <t xml:space="preserve">Hardware</t>
  </si>
  <si>
    <t xml:space="preserve">Always underestimated</t>
  </si>
  <si>
    <t xml:space="preserve">BRS hard points and doublers</t>
  </si>
  <si>
    <t xml:space="preserve">No chute installed</t>
  </si>
  <si>
    <t xml:space="preserve">Epoxy, glue, abrasives, consumables</t>
  </si>
  <si>
    <t xml:space="preserve">Consumables</t>
  </si>
  <si>
    <t xml:space="preserve">Weld jig, wing jig, misc tooling</t>
  </si>
  <si>
    <t xml:space="preserve">Tooling</t>
  </si>
  <si>
    <t xml:space="preserve">DAR inspection and N-number</t>
  </si>
  <si>
    <t xml:space="preserve">Cert</t>
  </si>
  <si>
    <t xml:space="preserve">MATERIALS SUBTOTAL</t>
  </si>
  <si>
    <t xml:space="preserve">Contingency</t>
  </si>
  <si>
    <t xml:space="preserve">TOTAL</t>
  </si>
  <si>
    <t xml:space="preserve">ENGINE OPTIONS - the only line that decides the $15k target</t>
  </si>
  <si>
    <t xml:space="preserve">Option</t>
  </si>
  <si>
    <t xml:space="preserve">Engine $</t>
  </si>
  <si>
    <t xml:space="preserve">Total $</t>
  </si>
  <si>
    <t xml:space="preserve">Weight lb</t>
  </si>
  <si>
    <t xml:space="preserve">Ignition</t>
  </si>
  <si>
    <t xml:space="preserve">Hirth F-33, new</t>
  </si>
  <si>
    <t xml:space="preserve">Dual CDI</t>
  </si>
  <si>
    <t xml:space="preserve">Hirth F-33, used</t>
  </si>
  <si>
    <t xml:space="preserve">Rotax 277, used</t>
  </si>
  <si>
    <t xml:space="preserve">Single</t>
  </si>
  <si>
    <t xml:space="preserve">Build Hours</t>
  </si>
  <si>
    <t xml:space="preserve">Design time excluded. Sky Pup baseline is 450-600 hr. Your experience factor is applied below.</t>
  </si>
  <si>
    <t xml:space="preserve">Task</t>
  </si>
  <si>
    <t xml:space="preserve">Phase</t>
  </si>
  <si>
    <t xml:space="preserve">Raw hr</t>
  </si>
  <si>
    <t xml:space="preserve">Actual hr</t>
  </si>
  <si>
    <t xml:space="preserve">Used hr</t>
  </si>
  <si>
    <t xml:space="preserve">Weld jig and fuselage structure</t>
  </si>
  <si>
    <t xml:space="preserve">Your MIG/TIG work</t>
  </si>
  <si>
    <t xml:space="preserve">Nose bow, rollover hoop, seat frame</t>
  </si>
  <si>
    <t xml:space="preserve">Tail surfaces, weld and assemble</t>
  </si>
  <si>
    <t xml:space="preserve">Spar: cut, drill, rivet, both panels + center</t>
  </si>
  <si>
    <t xml:space="preserve">Cut and jig 31 fir truss ribs</t>
  </si>
  <si>
    <t xml:space="preserve">75 min each</t>
  </si>
  <si>
    <t xml:space="preserve">D-tube leading edge</t>
  </si>
  <si>
    <t xml:space="preserve">Wing assembly, TE, tips, dihedral set</t>
  </si>
  <si>
    <t xml:space="preserve">Spoilerons, hinges, springs</t>
  </si>
  <si>
    <t xml:space="preserve">You have done these</t>
  </si>
  <si>
    <t xml:space="preserve">Wing joint fittings and fit-up</t>
  </si>
  <si>
    <t xml:space="preserve">Machine shop</t>
  </si>
  <si>
    <t xml:space="preserve">Sprung main gear, nose gear, steering</t>
  </si>
  <si>
    <t xml:space="preserve">Brake install, rotor adapters, bleed</t>
  </si>
  <si>
    <t xml:space="preserve">Elevator and rudder runs</t>
  </si>
  <si>
    <t xml:space="preserve">Spoileron cables, pulleys, rigging</t>
  </si>
  <si>
    <t xml:space="preserve">Engine mount, install, fuel, exhaust</t>
  </si>
  <si>
    <t xml:space="preserve">Cover and finish, 430 sq ft</t>
  </si>
  <si>
    <t xml:space="preserve">Finish</t>
  </si>
  <si>
    <t xml:space="preserve">Slowest single task</t>
  </si>
  <si>
    <t xml:space="preserve">Final assembly, rigging, weigh, debug</t>
  </si>
  <si>
    <t xml:space="preserve">Assembly</t>
  </si>
  <si>
    <t xml:space="preserve">Remakes and learning curve</t>
  </si>
  <si>
    <t xml:space="preserve">RAW TOTAL</t>
  </si>
  <si>
    <t xml:space="preserve">Experience factor</t>
  </si>
  <si>
    <t xml:space="preserve">Your estimate of my estimates</t>
  </si>
  <si>
    <t xml:space="preserve">ADJUSTED TOTAL HOURS</t>
  </si>
  <si>
    <t xml:space="preserve">Hours per week</t>
  </si>
  <si>
    <t xml:space="preserve">Calendar years</t>
  </si>
  <si>
    <t xml:space="preserve">Performance, driven live off the Weight sheet</t>
  </si>
  <si>
    <t xml:space="preserve">INPUTS</t>
  </si>
  <si>
    <t xml:space="preserve">Wing span (ft)</t>
  </si>
  <si>
    <t xml:space="preserve">3-piece: 8 ft center, 11.5 ft outer panels</t>
  </si>
  <si>
    <t xml:space="preserve">Wing area (sq ft)</t>
  </si>
  <si>
    <t xml:space="preserve">Constant chord 50 in</t>
  </si>
  <si>
    <t xml:space="preserve">Equiv flat plate area f (sq m)</t>
  </si>
  <si>
    <t xml:space="preserve">Back-solved from Sky Pup 12:1, plus trike gear</t>
  </si>
  <si>
    <t xml:space="preserve">Oswald efficiency e</t>
  </si>
  <si>
    <t xml:space="preserve">CLmax, clean</t>
  </si>
  <si>
    <t xml:space="preserve">Sky Pup section, no flaps</t>
  </si>
  <si>
    <t xml:space="preserve">Engine shaft hp</t>
  </si>
  <si>
    <t xml:space="preserve">Hirth F-33</t>
  </si>
  <si>
    <t xml:space="preserve">Prop efficiency, cruise</t>
  </si>
  <si>
    <t xml:space="preserve">60 in wood, fixed pitch</t>
  </si>
  <si>
    <t xml:space="preserve">Prop efficiency, climb</t>
  </si>
  <si>
    <t xml:space="preserve">Static thrust (lb)</t>
  </si>
  <si>
    <t xml:space="preserve">28 hp on a 60 in disc, FM 0.75</t>
  </si>
  <si>
    <t xml:space="preserve">Roll friction + drag coeff</t>
  </si>
  <si>
    <t xml:space="preserve">Grass</t>
  </si>
  <si>
    <t xml:space="preserve">Cruise speed (mph)</t>
  </si>
  <si>
    <t xml:space="preserve">Fuel burn at cruise (gph)</t>
  </si>
  <si>
    <t xml:space="preserve">2-stroke, part throttle</t>
  </si>
  <si>
    <t xml:space="preserve">Fuel capacity (gal)</t>
  </si>
  <si>
    <t xml:space="preserve">Design pilot (lb)</t>
  </si>
  <si>
    <t xml:space="preserve">Fuel aboard (lb)</t>
  </si>
  <si>
    <t xml:space="preserve">DERIVED</t>
  </si>
  <si>
    <t xml:space="preserve">Gross weight (lb)</t>
  </si>
  <si>
    <t xml:space="preserve">Gross weight (N)</t>
  </si>
  <si>
    <t xml:space="preserve">Span (m)</t>
  </si>
  <si>
    <t xml:space="preserve">Wing area (sq m)</t>
  </si>
  <si>
    <t xml:space="preserve">L/D max</t>
  </si>
  <si>
    <t xml:space="preserve">Sky Pup is 12:1</t>
  </si>
  <si>
    <t xml:space="preserve">Stall speed (mph)</t>
  </si>
  <si>
    <t xml:space="preserve">Part 103 limit 27.6 mph</t>
  </si>
  <si>
    <t xml:space="preserve">Liftoff speed (m/s)</t>
  </si>
  <si>
    <t xml:space="preserve">Takeoff accel (m/s2)</t>
  </si>
  <si>
    <t xml:space="preserve">GROUND ROLL (ft)</t>
  </si>
  <si>
    <t xml:space="preserve">Target under 200 ft</t>
  </si>
  <si>
    <t xml:space="preserve">Cruise speed (m/s)</t>
  </si>
  <si>
    <t xml:space="preserve">Parasite power at cruise (W)</t>
  </si>
  <si>
    <t xml:space="preserve">Induced power at cruise (W)</t>
  </si>
  <si>
    <t xml:space="preserve">Shaft hp required at cruise</t>
  </si>
  <si>
    <t xml:space="preserve">Best climb speed (m/s)</t>
  </si>
  <si>
    <t xml:space="preserve">Power required at Vy (W)</t>
  </si>
  <si>
    <t xml:space="preserve">RATE OF CLIMB (fpm)</t>
  </si>
  <si>
    <t xml:space="preserve">ENDURANCE (hours)</t>
  </si>
  <si>
    <t xml:space="preserve">RANGE (statute miles)</t>
  </si>
  <si>
    <t xml:space="preserve">Less reserve</t>
  </si>
  <si>
    <t xml:space="preserve">Wing loading (lb/sq ft)</t>
  </si>
  <si>
    <t xml:space="preserve">Power loading (lb/hp)</t>
  </si>
  <si>
    <t xml:space="preserve">Glide distance from 1000 ft AGL (mi)</t>
  </si>
  <si>
    <t xml:space="preserve">Max achievable g = (Vne/Vstall)^2. Design limit 4.7g, ultimate 7.0g makes the wing stall-limited.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</si>
</sst>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"/>
    <numFmt numFmtId="166" formatCode="#,##0"/>
    <numFmt numFmtId="167" formatCode="0.0%"/>
    <numFmt numFmtId="168" formatCode="\$#,##0"/>
    <numFmt numFmtId="169" formatCode="0%"/>
    <numFmt numFmtId="170" formatCode="General"/>
    <numFmt numFmtId="171" formatCode="0"/>
    <numFmt numFmtId="172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3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15" hidden="false" customHeight="false" outlineLevel="0" collapsed="false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</row>
    <row r="7" customFormat="false" ht="15" hidden="false" customHeight="false" outlineLevel="0" collapsed="false">
      <c r="A7" s="4" t="s">
        <v>12</v>
      </c>
      <c r="B7" s="4" t="s">
        <v>13</v>
      </c>
      <c r="C7" s="5" t="n">
        <v>22</v>
      </c>
      <c r="D7" s="6"/>
      <c r="E7" s="7" t="n">
        <f aca="false">IF(D7&gt;0,D7,C7)</f>
        <v>22</v>
      </c>
      <c r="F7" s="8" t="n">
        <v>72</v>
      </c>
      <c r="G7" s="9" t="n">
        <f aca="false">E7*F7</f>
        <v>1584</v>
      </c>
      <c r="H7" s="5" t="n">
        <v>22</v>
      </c>
    </row>
    <row r="8" customFormat="false" ht="15" hidden="false" customHeight="false" outlineLevel="0" collapsed="false">
      <c r="A8" s="4" t="s">
        <v>14</v>
      </c>
      <c r="B8" s="4" t="s">
        <v>13</v>
      </c>
      <c r="C8" s="5" t="n">
        <v>8</v>
      </c>
      <c r="D8" s="6"/>
      <c r="E8" s="7" t="n">
        <f aca="false">IF(D8&gt;0,D8,C8)</f>
        <v>8</v>
      </c>
      <c r="F8" s="8" t="n">
        <v>74</v>
      </c>
      <c r="G8" s="9" t="n">
        <f aca="false">E8*F8</f>
        <v>592</v>
      </c>
      <c r="H8" s="5" t="n">
        <v>8</v>
      </c>
    </row>
    <row r="9" customFormat="false" ht="15" hidden="false" customHeight="false" outlineLevel="0" collapsed="false">
      <c r="A9" s="4" t="s">
        <v>15</v>
      </c>
      <c r="B9" s="4" t="s">
        <v>13</v>
      </c>
      <c r="C9" s="5" t="n">
        <v>12</v>
      </c>
      <c r="D9" s="6"/>
      <c r="E9" s="7" t="n">
        <f aca="false">IF(D9&gt;0,D9,C9)</f>
        <v>12</v>
      </c>
      <c r="F9" s="8" t="n">
        <v>60</v>
      </c>
      <c r="G9" s="9" t="n">
        <f aca="false">E9*F9</f>
        <v>720</v>
      </c>
      <c r="H9" s="5" t="n">
        <v>12</v>
      </c>
    </row>
    <row r="10" customFormat="false" ht="15" hidden="false" customHeight="false" outlineLevel="0" collapsed="false">
      <c r="A10" s="4" t="s">
        <v>16</v>
      </c>
      <c r="B10" s="4" t="s">
        <v>13</v>
      </c>
      <c r="C10" s="5" t="n">
        <v>5</v>
      </c>
      <c r="D10" s="6"/>
      <c r="E10" s="7" t="n">
        <f aca="false">IF(D10&gt;0,D10,C10)</f>
        <v>5</v>
      </c>
      <c r="F10" s="8" t="n">
        <v>86</v>
      </c>
      <c r="G10" s="9" t="n">
        <f aca="false">E10*F10</f>
        <v>430</v>
      </c>
      <c r="H10" s="5" t="n">
        <v>5</v>
      </c>
    </row>
    <row r="11" customFormat="false" ht="15" hidden="false" customHeight="false" outlineLevel="0" collapsed="false">
      <c r="A11" s="4" t="s">
        <v>17</v>
      </c>
      <c r="B11" s="4" t="s">
        <v>13</v>
      </c>
      <c r="C11" s="5" t="n">
        <v>3</v>
      </c>
      <c r="D11" s="6"/>
      <c r="E11" s="7" t="n">
        <f aca="false">IF(D11&gt;0,D11,C11)</f>
        <v>3</v>
      </c>
      <c r="F11" s="8" t="n">
        <v>100</v>
      </c>
      <c r="G11" s="9" t="n">
        <f aca="false">E11*F11</f>
        <v>300</v>
      </c>
      <c r="H11" s="5" t="n">
        <v>3</v>
      </c>
    </row>
    <row r="12" customFormat="false" ht="15" hidden="false" customHeight="false" outlineLevel="0" collapsed="false">
      <c r="A12" s="4" t="s">
        <v>18</v>
      </c>
      <c r="B12" s="4" t="s">
        <v>13</v>
      </c>
      <c r="C12" s="5" t="n">
        <v>7</v>
      </c>
      <c r="D12" s="6"/>
      <c r="E12" s="7" t="n">
        <f aca="false">IF(D12&gt;0,D12,C12)</f>
        <v>7</v>
      </c>
      <c r="F12" s="8" t="n">
        <v>68</v>
      </c>
      <c r="G12" s="9" t="n">
        <f aca="false">E12*F12</f>
        <v>476</v>
      </c>
      <c r="H12" s="5" t="n">
        <v>7</v>
      </c>
    </row>
    <row r="13" customFormat="false" ht="15" hidden="false" customHeight="false" outlineLevel="0" collapsed="false">
      <c r="A13" s="4" t="s">
        <v>19</v>
      </c>
      <c r="B13" s="4" t="s">
        <v>13</v>
      </c>
      <c r="C13" s="5" t="n">
        <v>4</v>
      </c>
      <c r="D13" s="6"/>
      <c r="E13" s="7" t="n">
        <f aca="false">IF(D13&gt;0,D13,C13)</f>
        <v>4</v>
      </c>
      <c r="F13" s="8" t="n">
        <v>82</v>
      </c>
      <c r="G13" s="9" t="n">
        <f aca="false">E13*F13</f>
        <v>328</v>
      </c>
      <c r="H13" s="5" t="n">
        <v>4</v>
      </c>
    </row>
    <row r="14" customFormat="false" ht="15" hidden="false" customHeight="false" outlineLevel="0" collapsed="false">
      <c r="A14" s="4" t="s">
        <v>20</v>
      </c>
      <c r="B14" s="4" t="s">
        <v>13</v>
      </c>
      <c r="C14" s="5" t="n">
        <v>14</v>
      </c>
      <c r="D14" s="6"/>
      <c r="E14" s="7" t="n">
        <f aca="false">IF(D14&gt;0,D14,C14)</f>
        <v>14</v>
      </c>
      <c r="F14" s="8" t="n">
        <v>74</v>
      </c>
      <c r="G14" s="9" t="n">
        <f aca="false">E14*F14</f>
        <v>1036</v>
      </c>
      <c r="H14" s="5" t="n">
        <v>11.5</v>
      </c>
    </row>
    <row r="15" customFormat="false" ht="15" hidden="false" customHeight="false" outlineLevel="0" collapsed="false">
      <c r="A15" s="4" t="s">
        <v>21</v>
      </c>
      <c r="B15" s="4" t="s">
        <v>13</v>
      </c>
      <c r="C15" s="5" t="n">
        <v>4</v>
      </c>
      <c r="D15" s="6"/>
      <c r="E15" s="7" t="n">
        <f aca="false">IF(D15&gt;0,D15,C15)</f>
        <v>4</v>
      </c>
      <c r="F15" s="8" t="n">
        <v>72</v>
      </c>
      <c r="G15" s="9" t="n">
        <f aca="false">E15*F15</f>
        <v>288</v>
      </c>
      <c r="H15" s="5" t="n">
        <v>4</v>
      </c>
    </row>
    <row r="16" customFormat="false" ht="15" hidden="false" customHeight="false" outlineLevel="0" collapsed="false">
      <c r="A16" s="4" t="s">
        <v>22</v>
      </c>
      <c r="B16" s="4" t="s">
        <v>23</v>
      </c>
      <c r="C16" s="5" t="n">
        <v>28</v>
      </c>
      <c r="D16" s="6"/>
      <c r="E16" s="7" t="n">
        <f aca="false">IF(D16&gt;0,D16,C16)</f>
        <v>28</v>
      </c>
      <c r="F16" s="8" t="n">
        <v>85</v>
      </c>
      <c r="G16" s="9" t="n">
        <f aca="false">E16*F16</f>
        <v>2380</v>
      </c>
      <c r="H16" s="5" t="n">
        <v>28</v>
      </c>
    </row>
    <row r="17" customFormat="false" ht="15" hidden="false" customHeight="false" outlineLevel="0" collapsed="false">
      <c r="A17" s="4" t="s">
        <v>24</v>
      </c>
      <c r="B17" s="4" t="s">
        <v>23</v>
      </c>
      <c r="C17" s="5" t="n">
        <v>3</v>
      </c>
      <c r="D17" s="6"/>
      <c r="E17" s="7" t="n">
        <f aca="false">IF(D17&gt;0,D17,C17)</f>
        <v>3</v>
      </c>
      <c r="F17" s="8" t="n">
        <v>80</v>
      </c>
      <c r="G17" s="9" t="n">
        <f aca="false">E17*F17</f>
        <v>240</v>
      </c>
      <c r="H17" s="5" t="n">
        <v>3</v>
      </c>
    </row>
    <row r="18" customFormat="false" ht="15" hidden="false" customHeight="false" outlineLevel="0" collapsed="false">
      <c r="A18" s="4" t="s">
        <v>25</v>
      </c>
      <c r="B18" s="4" t="s">
        <v>23</v>
      </c>
      <c r="C18" s="5" t="n">
        <v>4</v>
      </c>
      <c r="D18" s="6"/>
      <c r="E18" s="7" t="n">
        <f aca="false">IF(D18&gt;0,D18,C18)</f>
        <v>4</v>
      </c>
      <c r="F18" s="8" t="n">
        <v>30</v>
      </c>
      <c r="G18" s="9" t="n">
        <f aca="false">E18*F18</f>
        <v>120</v>
      </c>
      <c r="H18" s="5" t="n">
        <v>4</v>
      </c>
    </row>
    <row r="19" customFormat="false" ht="15" hidden="false" customHeight="false" outlineLevel="0" collapsed="false">
      <c r="A19" s="4" t="s">
        <v>26</v>
      </c>
      <c r="B19" s="4" t="s">
        <v>23</v>
      </c>
      <c r="C19" s="5" t="n">
        <v>4</v>
      </c>
      <c r="D19" s="6"/>
      <c r="E19" s="7" t="n">
        <f aca="false">IF(D19&gt;0,D19,C19)</f>
        <v>4</v>
      </c>
      <c r="F19" s="8" t="n">
        <v>54</v>
      </c>
      <c r="G19" s="9" t="n">
        <f aca="false">E19*F19</f>
        <v>216</v>
      </c>
      <c r="H19" s="5" t="n">
        <v>4</v>
      </c>
    </row>
    <row r="20" customFormat="false" ht="15" hidden="false" customHeight="false" outlineLevel="0" collapsed="false">
      <c r="A20" s="4" t="s">
        <v>27</v>
      </c>
      <c r="B20" s="4" t="s">
        <v>23</v>
      </c>
      <c r="C20" s="5" t="n">
        <v>6</v>
      </c>
      <c r="D20" s="6"/>
      <c r="E20" s="7" t="n">
        <f aca="false">IF(D20&gt;0,D20,C20)</f>
        <v>6</v>
      </c>
      <c r="F20" s="8" t="n">
        <v>58</v>
      </c>
      <c r="G20" s="9" t="n">
        <f aca="false">E20*F20</f>
        <v>348</v>
      </c>
      <c r="H20" s="5" t="n">
        <v>6</v>
      </c>
    </row>
    <row r="21" customFormat="false" ht="15" hidden="false" customHeight="false" outlineLevel="0" collapsed="false">
      <c r="A21" s="4" t="s">
        <v>28</v>
      </c>
      <c r="B21" s="4" t="s">
        <v>23</v>
      </c>
      <c r="C21" s="5" t="n">
        <v>4</v>
      </c>
      <c r="D21" s="6"/>
      <c r="E21" s="7" t="n">
        <f aca="false">IF(D21&gt;0,D21,C21)</f>
        <v>4</v>
      </c>
      <c r="F21" s="8" t="n">
        <v>58</v>
      </c>
      <c r="G21" s="9" t="n">
        <f aca="false">E21*F21</f>
        <v>232</v>
      </c>
      <c r="H21" s="5" t="n">
        <v>4</v>
      </c>
    </row>
    <row r="22" customFormat="false" ht="15" hidden="false" customHeight="false" outlineLevel="0" collapsed="false">
      <c r="A22" s="4" t="s">
        <v>29</v>
      </c>
      <c r="B22" s="4" t="s">
        <v>23</v>
      </c>
      <c r="C22" s="5" t="n">
        <v>3</v>
      </c>
      <c r="D22" s="6"/>
      <c r="E22" s="7" t="n">
        <f aca="false">IF(D22&gt;0,D22,C22)</f>
        <v>3</v>
      </c>
      <c r="F22" s="8" t="n">
        <v>110</v>
      </c>
      <c r="G22" s="9" t="n">
        <f aca="false">E22*F22</f>
        <v>330</v>
      </c>
      <c r="H22" s="5" t="n">
        <v>3</v>
      </c>
    </row>
    <row r="23" customFormat="false" ht="15" hidden="false" customHeight="false" outlineLevel="0" collapsed="false">
      <c r="A23" s="4" t="s">
        <v>30</v>
      </c>
      <c r="B23" s="4" t="s">
        <v>23</v>
      </c>
      <c r="C23" s="5" t="n">
        <v>6</v>
      </c>
      <c r="D23" s="6"/>
      <c r="E23" s="7" t="n">
        <f aca="false">IF(D23&gt;0,D23,C23)</f>
        <v>6</v>
      </c>
      <c r="F23" s="8" t="n">
        <v>85</v>
      </c>
      <c r="G23" s="9" t="n">
        <f aca="false">E23*F23</f>
        <v>510</v>
      </c>
      <c r="H23" s="5" t="n">
        <v>5</v>
      </c>
    </row>
    <row r="24" customFormat="false" ht="15" hidden="false" customHeight="false" outlineLevel="0" collapsed="false">
      <c r="A24" s="4" t="s">
        <v>31</v>
      </c>
      <c r="B24" s="4" t="s">
        <v>23</v>
      </c>
      <c r="C24" s="5" t="n">
        <v>4</v>
      </c>
      <c r="D24" s="6"/>
      <c r="E24" s="7" t="n">
        <f aca="false">IF(D24&gt;0,D24,C24)</f>
        <v>4</v>
      </c>
      <c r="F24" s="8" t="n">
        <v>42</v>
      </c>
      <c r="G24" s="9" t="n">
        <f aca="false">E24*F24</f>
        <v>168</v>
      </c>
      <c r="H24" s="5" t="n">
        <v>0</v>
      </c>
    </row>
    <row r="25" customFormat="false" ht="15" hidden="false" customHeight="false" outlineLevel="0" collapsed="false">
      <c r="A25" s="4" t="s">
        <v>32</v>
      </c>
      <c r="B25" s="4" t="s">
        <v>33</v>
      </c>
      <c r="C25" s="5" t="n">
        <v>12</v>
      </c>
      <c r="D25" s="6"/>
      <c r="E25" s="7" t="n">
        <f aca="false">IF(D25&gt;0,D25,C25)</f>
        <v>12</v>
      </c>
      <c r="F25" s="8" t="n">
        <v>184</v>
      </c>
      <c r="G25" s="9" t="n">
        <f aca="false">E25*F25</f>
        <v>2208</v>
      </c>
      <c r="H25" s="5" t="n">
        <v>11</v>
      </c>
    </row>
    <row r="26" customFormat="false" ht="15" hidden="false" customHeight="false" outlineLevel="0" collapsed="false">
      <c r="A26" s="4" t="s">
        <v>34</v>
      </c>
      <c r="B26" s="4" t="s">
        <v>33</v>
      </c>
      <c r="C26" s="5" t="n">
        <v>6</v>
      </c>
      <c r="D26" s="6"/>
      <c r="E26" s="7" t="n">
        <f aca="false">IF(D26&gt;0,D26,C26)</f>
        <v>6</v>
      </c>
      <c r="F26" s="8" t="n">
        <v>180</v>
      </c>
      <c r="G26" s="9" t="n">
        <f aca="false">E26*F26</f>
        <v>1080</v>
      </c>
      <c r="H26" s="5" t="n">
        <v>5.5</v>
      </c>
    </row>
    <row r="27" customFormat="false" ht="15" hidden="false" customHeight="false" outlineLevel="0" collapsed="false">
      <c r="A27" s="4" t="s">
        <v>35</v>
      </c>
      <c r="B27" s="4" t="s">
        <v>33</v>
      </c>
      <c r="C27" s="5" t="n">
        <v>2</v>
      </c>
      <c r="D27" s="6"/>
      <c r="E27" s="7" t="n">
        <f aca="false">IF(D27&gt;0,D27,C27)</f>
        <v>2</v>
      </c>
      <c r="F27" s="8" t="n">
        <v>182</v>
      </c>
      <c r="G27" s="9" t="n">
        <f aca="false">E27*F27</f>
        <v>364</v>
      </c>
      <c r="H27" s="5" t="n">
        <v>2</v>
      </c>
    </row>
    <row r="28" customFormat="false" ht="15" hidden="false" customHeight="false" outlineLevel="0" collapsed="false">
      <c r="A28" s="4" t="s">
        <v>36</v>
      </c>
      <c r="B28" s="4" t="s">
        <v>37</v>
      </c>
      <c r="C28" s="5" t="n">
        <v>8</v>
      </c>
      <c r="D28" s="6"/>
      <c r="E28" s="7" t="n">
        <f aca="false">IF(D28&gt;0,D28,C28)</f>
        <v>8</v>
      </c>
      <c r="F28" s="8" t="n">
        <v>80</v>
      </c>
      <c r="G28" s="9" t="n">
        <f aca="false">E28*F28</f>
        <v>640</v>
      </c>
      <c r="H28" s="5" t="n">
        <v>7</v>
      </c>
    </row>
    <row r="29" customFormat="false" ht="15" hidden="false" customHeight="false" outlineLevel="0" collapsed="false">
      <c r="A29" s="4" t="s">
        <v>38</v>
      </c>
      <c r="B29" s="4" t="s">
        <v>37</v>
      </c>
      <c r="C29" s="5" t="n">
        <v>12</v>
      </c>
      <c r="D29" s="6"/>
      <c r="E29" s="7" t="n">
        <f aca="false">IF(D29&gt;0,D29,C29)</f>
        <v>12</v>
      </c>
      <c r="F29" s="8" t="n">
        <v>80</v>
      </c>
      <c r="G29" s="9" t="n">
        <f aca="false">E29*F29</f>
        <v>960</v>
      </c>
      <c r="H29" s="5" t="n">
        <v>8</v>
      </c>
    </row>
    <row r="30" customFormat="false" ht="15" hidden="false" customHeight="false" outlineLevel="0" collapsed="false">
      <c r="A30" s="4" t="s">
        <v>39</v>
      </c>
      <c r="B30" s="4" t="s">
        <v>37</v>
      </c>
      <c r="C30" s="5" t="n">
        <v>3</v>
      </c>
      <c r="D30" s="6"/>
      <c r="E30" s="7" t="n">
        <f aca="false">IF(D30&gt;0,D30,C30)</f>
        <v>3</v>
      </c>
      <c r="F30" s="8" t="n">
        <v>80</v>
      </c>
      <c r="G30" s="9" t="n">
        <f aca="false">E30*F30</f>
        <v>240</v>
      </c>
      <c r="H30" s="5" t="n">
        <v>3</v>
      </c>
    </row>
    <row r="31" customFormat="false" ht="15" hidden="false" customHeight="false" outlineLevel="0" collapsed="false">
      <c r="A31" s="4" t="s">
        <v>40</v>
      </c>
      <c r="B31" s="4" t="s">
        <v>37</v>
      </c>
      <c r="C31" s="5" t="n">
        <v>12</v>
      </c>
      <c r="D31" s="6"/>
      <c r="E31" s="7" t="n">
        <f aca="false">IF(D31&gt;0,D31,C31)</f>
        <v>12</v>
      </c>
      <c r="F31" s="8" t="n">
        <v>36</v>
      </c>
      <c r="G31" s="9" t="n">
        <f aca="false">E31*F31</f>
        <v>432</v>
      </c>
      <c r="H31" s="5" t="n">
        <v>9</v>
      </c>
    </row>
    <row r="32" customFormat="false" ht="15" hidden="false" customHeight="false" outlineLevel="0" collapsed="false">
      <c r="A32" s="4" t="s">
        <v>41</v>
      </c>
      <c r="B32" s="4" t="s">
        <v>37</v>
      </c>
      <c r="C32" s="5" t="n">
        <v>3</v>
      </c>
      <c r="D32" s="6"/>
      <c r="E32" s="7" t="n">
        <f aca="false">IF(D32&gt;0,D32,C32)</f>
        <v>3</v>
      </c>
      <c r="F32" s="8" t="n">
        <v>60</v>
      </c>
      <c r="G32" s="9" t="n">
        <f aca="false">E32*F32</f>
        <v>180</v>
      </c>
      <c r="H32" s="5" t="n">
        <v>3</v>
      </c>
    </row>
    <row r="33" customFormat="false" ht="15" hidden="false" customHeight="false" outlineLevel="0" collapsed="false">
      <c r="A33" s="4" t="s">
        <v>42</v>
      </c>
      <c r="B33" s="4" t="s">
        <v>43</v>
      </c>
      <c r="C33" s="5" t="n">
        <v>7</v>
      </c>
      <c r="D33" s="6"/>
      <c r="E33" s="7" t="n">
        <f aca="false">IF(D33&gt;0,D33,C33)</f>
        <v>7</v>
      </c>
      <c r="F33" s="8" t="n">
        <v>60</v>
      </c>
      <c r="G33" s="9" t="n">
        <f aca="false">E33*F33</f>
        <v>420</v>
      </c>
      <c r="H33" s="5" t="n">
        <v>7</v>
      </c>
    </row>
    <row r="34" customFormat="false" ht="15" hidden="false" customHeight="false" outlineLevel="0" collapsed="false">
      <c r="A34" s="4" t="s">
        <v>44</v>
      </c>
      <c r="B34" s="4" t="s">
        <v>43</v>
      </c>
      <c r="C34" s="5" t="n">
        <v>5</v>
      </c>
      <c r="D34" s="6"/>
      <c r="E34" s="7" t="n">
        <f aca="false">IF(D34&gt;0,D34,C34)</f>
        <v>5</v>
      </c>
      <c r="F34" s="8" t="n">
        <v>100</v>
      </c>
      <c r="G34" s="9" t="n">
        <f aca="false">E34*F34</f>
        <v>500</v>
      </c>
      <c r="H34" s="5" t="n">
        <v>5</v>
      </c>
    </row>
    <row r="35" customFormat="false" ht="15" hidden="false" customHeight="false" outlineLevel="0" collapsed="false">
      <c r="A35" s="4" t="s">
        <v>45</v>
      </c>
      <c r="B35" s="4" t="s">
        <v>43</v>
      </c>
      <c r="C35" s="5" t="n">
        <v>4</v>
      </c>
      <c r="D35" s="6"/>
      <c r="E35" s="7" t="n">
        <f aca="false">IF(D35&gt;0,D35,C35)</f>
        <v>4</v>
      </c>
      <c r="F35" s="8" t="n">
        <v>74</v>
      </c>
      <c r="G35" s="9" t="n">
        <f aca="false">E35*F35</f>
        <v>296</v>
      </c>
      <c r="H35" s="5" t="n">
        <v>4</v>
      </c>
    </row>
    <row r="36" customFormat="false" ht="15" hidden="false" customHeight="false" outlineLevel="0" collapsed="false">
      <c r="A36" s="4" t="s">
        <v>46</v>
      </c>
      <c r="B36" s="4" t="s">
        <v>47</v>
      </c>
      <c r="C36" s="5" t="n">
        <v>35</v>
      </c>
      <c r="D36" s="6"/>
      <c r="E36" s="7" t="n">
        <f aca="false">IF(D36&gt;0,D36,C36)</f>
        <v>35</v>
      </c>
      <c r="F36" s="8" t="n">
        <v>14</v>
      </c>
      <c r="G36" s="9" t="n">
        <f aca="false">E36*F36</f>
        <v>490</v>
      </c>
      <c r="H36" s="5" t="n">
        <v>28</v>
      </c>
    </row>
    <row r="37" customFormat="false" ht="15" hidden="false" customHeight="false" outlineLevel="0" collapsed="false">
      <c r="A37" s="4" t="s">
        <v>48</v>
      </c>
      <c r="B37" s="4" t="s">
        <v>47</v>
      </c>
      <c r="C37" s="5" t="n">
        <v>10</v>
      </c>
      <c r="D37" s="6"/>
      <c r="E37" s="7" t="n">
        <f aca="false">IF(D37&gt;0,D37,C37)</f>
        <v>10</v>
      </c>
      <c r="F37" s="8" t="n">
        <v>10</v>
      </c>
      <c r="G37" s="9" t="n">
        <f aca="false">E37*F37</f>
        <v>100</v>
      </c>
      <c r="H37" s="5" t="n">
        <v>0</v>
      </c>
    </row>
    <row r="38" customFormat="false" ht="15" hidden="false" customHeight="false" outlineLevel="0" collapsed="false">
      <c r="A38" s="4" t="s">
        <v>49</v>
      </c>
      <c r="B38" s="4" t="s">
        <v>47</v>
      </c>
      <c r="C38" s="5" t="n">
        <v>8</v>
      </c>
      <c r="D38" s="6"/>
      <c r="E38" s="7" t="n">
        <f aca="false">IF(D38&gt;0,D38,C38)</f>
        <v>8</v>
      </c>
      <c r="F38" s="8" t="n">
        <v>2</v>
      </c>
      <c r="G38" s="9" t="n">
        <f aca="false">E38*F38</f>
        <v>16</v>
      </c>
      <c r="H38" s="5" t="n">
        <v>7</v>
      </c>
    </row>
    <row r="39" customFormat="false" ht="15" hidden="false" customHeight="false" outlineLevel="0" collapsed="false">
      <c r="A39" s="4" t="s">
        <v>50</v>
      </c>
      <c r="B39" s="4" t="s">
        <v>47</v>
      </c>
      <c r="C39" s="5" t="n">
        <v>5</v>
      </c>
      <c r="D39" s="6"/>
      <c r="E39" s="7" t="n">
        <f aca="false">IF(D39&gt;0,D39,C39)</f>
        <v>5</v>
      </c>
      <c r="F39" s="8" t="n">
        <v>18</v>
      </c>
      <c r="G39" s="9" t="n">
        <f aca="false">E39*F39</f>
        <v>90</v>
      </c>
      <c r="H39" s="5" t="n">
        <v>4</v>
      </c>
    </row>
    <row r="40" customFormat="false" ht="15" hidden="false" customHeight="false" outlineLevel="0" collapsed="false">
      <c r="A40" s="4" t="s">
        <v>51</v>
      </c>
      <c r="B40" s="4" t="s">
        <v>47</v>
      </c>
      <c r="C40" s="5" t="n">
        <v>8</v>
      </c>
      <c r="D40" s="6"/>
      <c r="E40" s="7" t="n">
        <f aca="false">IF(D40&gt;0,D40,C40)</f>
        <v>8</v>
      </c>
      <c r="F40" s="8" t="n">
        <v>50</v>
      </c>
      <c r="G40" s="9" t="n">
        <f aca="false">E40*F40</f>
        <v>400</v>
      </c>
      <c r="H40" s="5" t="n">
        <v>5</v>
      </c>
    </row>
    <row r="41" customFormat="false" ht="15" hidden="false" customHeight="false" outlineLevel="0" collapsed="false">
      <c r="A41" s="4" t="s">
        <v>52</v>
      </c>
      <c r="B41" s="4" t="s">
        <v>53</v>
      </c>
      <c r="C41" s="5" t="n">
        <v>4</v>
      </c>
      <c r="D41" s="6"/>
      <c r="E41" s="7" t="n">
        <f aca="false">IF(D41&gt;0,D41,C41)</f>
        <v>4</v>
      </c>
      <c r="F41" s="8" t="n">
        <v>44</v>
      </c>
      <c r="G41" s="9" t="n">
        <f aca="false">E41*F41</f>
        <v>176</v>
      </c>
      <c r="H41" s="5" t="n">
        <v>0</v>
      </c>
    </row>
    <row r="42" customFormat="false" ht="15" hidden="false" customHeight="false" outlineLevel="0" collapsed="false">
      <c r="A42" s="4" t="s">
        <v>54</v>
      </c>
      <c r="B42" s="4" t="s">
        <v>53</v>
      </c>
      <c r="C42" s="5" t="n">
        <v>2</v>
      </c>
      <c r="D42" s="6"/>
      <c r="E42" s="7" t="n">
        <f aca="false">IF(D42&gt;0,D42,C42)</f>
        <v>2</v>
      </c>
      <c r="F42" s="8" t="n">
        <v>50</v>
      </c>
      <c r="G42" s="9" t="n">
        <f aca="false">E42*F42</f>
        <v>100</v>
      </c>
      <c r="H42" s="5" t="n">
        <v>0</v>
      </c>
    </row>
    <row r="43" customFormat="false" ht="15" hidden="false" customHeight="false" outlineLevel="0" collapsed="false">
      <c r="A43" s="4" t="s">
        <v>55</v>
      </c>
      <c r="B43" s="4" t="s">
        <v>53</v>
      </c>
      <c r="C43" s="5" t="n">
        <v>3</v>
      </c>
      <c r="D43" s="6"/>
      <c r="E43" s="7" t="n">
        <f aca="false">IF(D43&gt;0,D43,C43)</f>
        <v>3</v>
      </c>
      <c r="F43" s="8" t="n">
        <v>70</v>
      </c>
      <c r="G43" s="9" t="n">
        <f aca="false">E43*F43</f>
        <v>210</v>
      </c>
      <c r="H43" s="5" t="n">
        <v>3</v>
      </c>
    </row>
    <row r="44" customFormat="false" ht="15" hidden="false" customHeight="false" outlineLevel="0" collapsed="false">
      <c r="A44" s="4" t="s">
        <v>56</v>
      </c>
      <c r="B44" s="4" t="s">
        <v>53</v>
      </c>
      <c r="C44" s="5" t="n">
        <v>6</v>
      </c>
      <c r="D44" s="6"/>
      <c r="E44" s="7" t="n">
        <f aca="false">IF(D44&gt;0,D44,C44)</f>
        <v>6</v>
      </c>
      <c r="F44" s="8" t="n">
        <v>80</v>
      </c>
      <c r="G44" s="9" t="n">
        <f aca="false">E44*F44</f>
        <v>480</v>
      </c>
      <c r="H44" s="5" t="n">
        <v>5</v>
      </c>
    </row>
    <row r="46" customFormat="false" ht="15" hidden="false" customHeight="false" outlineLevel="0" collapsed="false">
      <c r="A46" s="10" t="s">
        <v>57</v>
      </c>
      <c r="B46" s="11"/>
      <c r="C46" s="11"/>
      <c r="D46" s="11"/>
      <c r="E46" s="12" t="n">
        <f aca="false">SUM(E7:E44)</f>
        <v>296</v>
      </c>
      <c r="F46" s="12" t="n">
        <f aca="false">G46/E46</f>
        <v>66.4864864864865</v>
      </c>
      <c r="G46" s="13" t="n">
        <f aca="false">SUM(G7:G44)</f>
        <v>19680</v>
      </c>
      <c r="H46" s="12" t="n">
        <f aca="false">SUM(H7:H44)</f>
        <v>250</v>
      </c>
    </row>
    <row r="47" customFormat="false" ht="15" hidden="false" customHeight="false" outlineLevel="0" collapsed="false">
      <c r="A47" s="2" t="s">
        <v>58</v>
      </c>
    </row>
    <row r="49" customFormat="false" ht="15" hidden="false" customHeight="false" outlineLevel="0" collapsed="false">
      <c r="A49" s="14" t="s">
        <v>59</v>
      </c>
    </row>
    <row r="50" customFormat="false" ht="15" hidden="false" customHeight="false" outlineLevel="0" collapsed="false">
      <c r="A50" s="3" t="s">
        <v>5</v>
      </c>
      <c r="B50" s="3" t="s">
        <v>60</v>
      </c>
      <c r="C50" s="3" t="s">
        <v>61</v>
      </c>
      <c r="D50" s="3" t="s">
        <v>62</v>
      </c>
    </row>
    <row r="51" customFormat="false" ht="15" hidden="false" customHeight="false" outlineLevel="0" collapsed="false">
      <c r="A51" s="4" t="s">
        <v>13</v>
      </c>
      <c r="B51" s="7" t="n">
        <f aca="false">SUMIF($B$7:$B$44,A51,$E$7:$E$44)</f>
        <v>79</v>
      </c>
      <c r="C51" s="15" t="n">
        <f aca="false">B51/$E$46</f>
        <v>0.266891891891892</v>
      </c>
      <c r="D51" s="7" t="n">
        <f aca="false">SUMIF($B$7:$B$44,A51,$H$7:$H$44)</f>
        <v>76.5</v>
      </c>
    </row>
    <row r="52" customFormat="false" ht="15" hidden="false" customHeight="false" outlineLevel="0" collapsed="false">
      <c r="A52" s="4" t="s">
        <v>23</v>
      </c>
      <c r="B52" s="7" t="n">
        <f aca="false">SUMIF($B$7:$B$44,A52,$E$7:$E$44)</f>
        <v>62</v>
      </c>
      <c r="C52" s="15" t="n">
        <f aca="false">B52/$E$46</f>
        <v>0.209459459459459</v>
      </c>
      <c r="D52" s="7" t="n">
        <f aca="false">SUMIF($B$7:$B$44,A52,$H$7:$H$44)</f>
        <v>57</v>
      </c>
    </row>
    <row r="53" customFormat="false" ht="15" hidden="false" customHeight="false" outlineLevel="0" collapsed="false">
      <c r="A53" s="4" t="s">
        <v>33</v>
      </c>
      <c r="B53" s="7" t="n">
        <f aca="false">SUMIF($B$7:$B$44,A53,$E$7:$E$44)</f>
        <v>20</v>
      </c>
      <c r="C53" s="15" t="n">
        <f aca="false">B53/$E$46</f>
        <v>0.0675675675675676</v>
      </c>
      <c r="D53" s="7" t="n">
        <f aca="false">SUMIF($B$7:$B$44,A53,$H$7:$H$44)</f>
        <v>18.5</v>
      </c>
    </row>
    <row r="54" customFormat="false" ht="15" hidden="false" customHeight="false" outlineLevel="0" collapsed="false">
      <c r="A54" s="4" t="s">
        <v>37</v>
      </c>
      <c r="B54" s="7" t="n">
        <f aca="false">SUMIF($B$7:$B$44,A54,$E$7:$E$44)</f>
        <v>38</v>
      </c>
      <c r="C54" s="15" t="n">
        <f aca="false">B54/$E$46</f>
        <v>0.128378378378378</v>
      </c>
      <c r="D54" s="7" t="n">
        <f aca="false">SUMIF($B$7:$B$44,A54,$H$7:$H$44)</f>
        <v>30</v>
      </c>
    </row>
    <row r="55" customFormat="false" ht="15" hidden="false" customHeight="false" outlineLevel="0" collapsed="false">
      <c r="A55" s="4" t="s">
        <v>43</v>
      </c>
      <c r="B55" s="7" t="n">
        <f aca="false">SUMIF($B$7:$B$44,A55,$E$7:$E$44)</f>
        <v>16</v>
      </c>
      <c r="C55" s="15" t="n">
        <f aca="false">B55/$E$46</f>
        <v>0.0540540540540541</v>
      </c>
      <c r="D55" s="7" t="n">
        <f aca="false">SUMIF($B$7:$B$44,A55,$H$7:$H$44)</f>
        <v>16</v>
      </c>
    </row>
    <row r="56" customFormat="false" ht="15" hidden="false" customHeight="false" outlineLevel="0" collapsed="false">
      <c r="A56" s="4" t="s">
        <v>47</v>
      </c>
      <c r="B56" s="7" t="n">
        <f aca="false">SUMIF($B$7:$B$44,A56,$E$7:$E$44)</f>
        <v>66</v>
      </c>
      <c r="C56" s="15" t="n">
        <f aca="false">B56/$E$46</f>
        <v>0.222972972972973</v>
      </c>
      <c r="D56" s="7" t="n">
        <f aca="false">SUMIF($B$7:$B$44,A56,$H$7:$H$44)</f>
        <v>44</v>
      </c>
    </row>
    <row r="57" customFormat="false" ht="15" hidden="false" customHeight="false" outlineLevel="0" collapsed="false">
      <c r="A57" s="4" t="s">
        <v>53</v>
      </c>
      <c r="B57" s="7" t="n">
        <f aca="false">SUMIF($B$7:$B$44,A57,$E$7:$E$44)</f>
        <v>15</v>
      </c>
      <c r="C57" s="15" t="n">
        <f aca="false">B57/$E$46</f>
        <v>0.0506756756756757</v>
      </c>
      <c r="D57" s="7" t="n">
        <f aca="false">SUMIF($B$7:$B$44,A57,$H$7:$H$44)</f>
        <v>8</v>
      </c>
    </row>
    <row r="60" customFormat="false" ht="15" hidden="false" customHeight="false" outlineLevel="0" collapsed="false">
      <c r="A60" s="14" t="s">
        <v>63</v>
      </c>
    </row>
    <row r="61" customFormat="false" ht="15" hidden="false" customHeight="false" outlineLevel="0" collapsed="false">
      <c r="A61" s="16" t="s">
        <v>64</v>
      </c>
      <c r="B61" s="17" t="n">
        <v>58</v>
      </c>
    </row>
    <row r="62" customFormat="false" ht="15" hidden="false" customHeight="false" outlineLevel="0" collapsed="false">
      <c r="A62" s="16" t="s">
        <v>65</v>
      </c>
      <c r="B62" s="17" t="n">
        <v>50</v>
      </c>
    </row>
    <row r="63" customFormat="false" ht="15" hidden="false" customHeight="false" outlineLevel="0" collapsed="false">
      <c r="A63" s="16" t="s">
        <v>66</v>
      </c>
      <c r="B63" s="17" t="n">
        <v>48</v>
      </c>
      <c r="C63" s="2" t="s">
        <v>67</v>
      </c>
    </row>
    <row r="65" customFormat="false" ht="15" hidden="false" customHeight="false" outlineLevel="0" collapsed="false">
      <c r="A65" s="3" t="s">
        <v>68</v>
      </c>
      <c r="B65" s="3" t="s">
        <v>69</v>
      </c>
      <c r="C65" s="3" t="s">
        <v>70</v>
      </c>
      <c r="D65" s="3" t="s">
        <v>71</v>
      </c>
      <c r="E65" s="3" t="s">
        <v>72</v>
      </c>
      <c r="F65" s="3" t="s">
        <v>73</v>
      </c>
    </row>
    <row r="66" customFormat="false" ht="15" hidden="false" customHeight="false" outlineLevel="0" collapsed="false">
      <c r="A66" s="4" t="s">
        <v>74</v>
      </c>
      <c r="B66" s="8" t="n">
        <v>170</v>
      </c>
      <c r="C66" s="8" t="n">
        <v>30</v>
      </c>
      <c r="D66" s="7" t="n">
        <f aca="false">$E$46+B66+C66</f>
        <v>496</v>
      </c>
      <c r="E66" s="7" t="n">
        <f aca="false">($G$46+B66*$B$61+C66*$B$62)/D66</f>
        <v>62.5806451612903</v>
      </c>
      <c r="F66" s="15" t="n">
        <f aca="false">(E66-$B$63)/50</f>
        <v>0.291612903225806</v>
      </c>
    </row>
    <row r="67" customFormat="false" ht="15" hidden="false" customHeight="false" outlineLevel="0" collapsed="false">
      <c r="A67" s="4" t="s">
        <v>75</v>
      </c>
      <c r="B67" s="8" t="n">
        <v>170</v>
      </c>
      <c r="C67" s="8" t="n">
        <v>0</v>
      </c>
      <c r="D67" s="7" t="n">
        <f aca="false">$E$46+B67+C67</f>
        <v>466</v>
      </c>
      <c r="E67" s="7" t="n">
        <f aca="false">($G$46+B67*$B$61+C67*$B$62)/D67</f>
        <v>63.3905579399142</v>
      </c>
      <c r="F67" s="15" t="n">
        <f aca="false">(E67-$B$63)/50</f>
        <v>0.307811158798283</v>
      </c>
    </row>
    <row r="68" customFormat="false" ht="15" hidden="false" customHeight="false" outlineLevel="0" collapsed="false">
      <c r="A68" s="4" t="s">
        <v>76</v>
      </c>
      <c r="B68" s="8" t="n">
        <v>220</v>
      </c>
      <c r="C68" s="8" t="n">
        <v>30</v>
      </c>
      <c r="D68" s="7" t="n">
        <f aca="false">$E$46+B68+C68</f>
        <v>546</v>
      </c>
      <c r="E68" s="7" t="n">
        <f aca="false">($G$46+B68*$B$61+C68*$B$62)/D68</f>
        <v>62.1611721611722</v>
      </c>
      <c r="F68" s="15" t="n">
        <f aca="false">(E68-$B$63)/50</f>
        <v>0.283223443223443</v>
      </c>
    </row>
    <row r="69" customFormat="false" ht="15" hidden="false" customHeight="false" outlineLevel="0" collapsed="false">
      <c r="A69" s="4" t="s">
        <v>77</v>
      </c>
      <c r="B69" s="8" t="n">
        <v>130</v>
      </c>
      <c r="C69" s="8" t="n">
        <v>30</v>
      </c>
      <c r="D69" s="7" t="n">
        <f aca="false">$E$46+B69+C69</f>
        <v>456</v>
      </c>
      <c r="E69" s="7" t="n">
        <f aca="false">($G$46+B69*$B$61+C69*$B$62)/D69</f>
        <v>62.9824561403509</v>
      </c>
      <c r="F69" s="15" t="n">
        <f aca="false">(E69-$B$63)/50</f>
        <v>0.299649122807018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4"/>
    <col collapsed="false" customWidth="true" hidden="false" outlineLevel="0" max="6" min="6" style="0" width="34"/>
  </cols>
  <sheetData>
    <row r="1" customFormat="false" ht="16.15" hidden="false" customHeight="false" outlineLevel="0" collapsed="false">
      <c r="A1" s="1" t="s">
        <v>78</v>
      </c>
    </row>
    <row r="2" customFormat="false" ht="15" hidden="false" customHeight="false" outlineLevel="0" collapsed="false">
      <c r="A2" s="2" t="s">
        <v>79</v>
      </c>
    </row>
    <row r="4" customFormat="false" ht="15" hidden="false" customHeight="false" outlineLevel="0" collapsed="false">
      <c r="A4" s="3" t="s">
        <v>4</v>
      </c>
      <c r="B4" s="3" t="s">
        <v>80</v>
      </c>
      <c r="C4" s="3" t="s">
        <v>81</v>
      </c>
      <c r="D4" s="3" t="s">
        <v>82</v>
      </c>
      <c r="E4" s="3" t="s">
        <v>83</v>
      </c>
      <c r="F4" s="3" t="s">
        <v>84</v>
      </c>
    </row>
    <row r="5" customFormat="false" ht="15" hidden="false" customHeight="false" outlineLevel="0" collapsed="false">
      <c r="A5" s="4" t="s">
        <v>85</v>
      </c>
      <c r="B5" s="4" t="s">
        <v>13</v>
      </c>
      <c r="C5" s="18" t="n">
        <v>650</v>
      </c>
      <c r="D5" s="19"/>
      <c r="E5" s="20" t="n">
        <f aca="false">IF(D5&gt;0,D5,C5)</f>
        <v>650</v>
      </c>
      <c r="F5" s="21" t="s">
        <v>86</v>
      </c>
    </row>
    <row r="6" customFormat="false" ht="15" hidden="false" customHeight="false" outlineLevel="0" collapsed="false">
      <c r="A6" s="4" t="s">
        <v>87</v>
      </c>
      <c r="B6" s="4" t="s">
        <v>13</v>
      </c>
      <c r="C6" s="18" t="n">
        <v>200</v>
      </c>
      <c r="D6" s="19"/>
      <c r="E6" s="20" t="n">
        <f aca="false">IF(D6&gt;0,D6,C6)</f>
        <v>200</v>
      </c>
      <c r="F6" s="21"/>
    </row>
    <row r="7" customFormat="false" ht="15" hidden="false" customHeight="false" outlineLevel="0" collapsed="false">
      <c r="A7" s="4" t="s">
        <v>88</v>
      </c>
      <c r="B7" s="4" t="s">
        <v>13</v>
      </c>
      <c r="C7" s="18" t="n">
        <v>200</v>
      </c>
      <c r="D7" s="19"/>
      <c r="E7" s="20" t="n">
        <f aca="false">IF(D7&gt;0,D7,C7)</f>
        <v>200</v>
      </c>
      <c r="F7" s="21" t="s">
        <v>89</v>
      </c>
    </row>
    <row r="8" customFormat="false" ht="15" hidden="false" customHeight="false" outlineLevel="0" collapsed="false">
      <c r="A8" s="4" t="s">
        <v>90</v>
      </c>
      <c r="B8" s="4" t="s">
        <v>13</v>
      </c>
      <c r="C8" s="18" t="n">
        <v>180</v>
      </c>
      <c r="D8" s="19"/>
      <c r="E8" s="20" t="n">
        <f aca="false">IF(D8&gt;0,D8,C8)</f>
        <v>180</v>
      </c>
      <c r="F8" s="21"/>
    </row>
    <row r="9" customFormat="false" ht="15" hidden="false" customHeight="false" outlineLevel="0" collapsed="false">
      <c r="A9" s="4" t="s">
        <v>91</v>
      </c>
      <c r="B9" s="4" t="s">
        <v>13</v>
      </c>
      <c r="C9" s="18" t="n">
        <v>150</v>
      </c>
      <c r="D9" s="19"/>
      <c r="E9" s="20" t="n">
        <f aca="false">IF(D9&gt;0,D9,C9)</f>
        <v>150</v>
      </c>
      <c r="F9" s="21"/>
    </row>
    <row r="10" customFormat="false" ht="15" hidden="false" customHeight="false" outlineLevel="0" collapsed="false">
      <c r="A10" s="4" t="s">
        <v>92</v>
      </c>
      <c r="B10" s="4" t="s">
        <v>13</v>
      </c>
      <c r="C10" s="18" t="n">
        <v>220</v>
      </c>
      <c r="D10" s="19"/>
      <c r="E10" s="20" t="n">
        <f aca="false">IF(D10&gt;0,D10,C10)</f>
        <v>220</v>
      </c>
      <c r="F10" s="21" t="s">
        <v>93</v>
      </c>
    </row>
    <row r="11" customFormat="false" ht="15" hidden="false" customHeight="false" outlineLevel="0" collapsed="false">
      <c r="A11" s="4" t="s">
        <v>94</v>
      </c>
      <c r="B11" s="4" t="s">
        <v>13</v>
      </c>
      <c r="C11" s="18" t="n">
        <v>180</v>
      </c>
      <c r="D11" s="19"/>
      <c r="E11" s="20" t="n">
        <f aca="false">IF(D11&gt;0,D11,C11)</f>
        <v>180</v>
      </c>
      <c r="F11" s="21"/>
    </row>
    <row r="12" customFormat="false" ht="15" hidden="false" customHeight="false" outlineLevel="0" collapsed="false">
      <c r="A12" s="4" t="s">
        <v>95</v>
      </c>
      <c r="B12" s="4" t="s">
        <v>23</v>
      </c>
      <c r="C12" s="18" t="n">
        <v>500</v>
      </c>
      <c r="D12" s="19"/>
      <c r="E12" s="20" t="n">
        <f aca="false">IF(D12&gt;0,D12,C12)</f>
        <v>500</v>
      </c>
      <c r="F12" s="21"/>
    </row>
    <row r="13" customFormat="false" ht="15" hidden="false" customHeight="false" outlineLevel="0" collapsed="false">
      <c r="A13" s="4" t="s">
        <v>96</v>
      </c>
      <c r="B13" s="4" t="s">
        <v>23</v>
      </c>
      <c r="C13" s="18" t="n">
        <v>200</v>
      </c>
      <c r="D13" s="19"/>
      <c r="E13" s="20" t="n">
        <f aca="false">IF(D13&gt;0,D13,C13)</f>
        <v>200</v>
      </c>
      <c r="F13" s="21"/>
    </row>
    <row r="14" customFormat="false" ht="15" hidden="false" customHeight="false" outlineLevel="0" collapsed="false">
      <c r="A14" s="4" t="s">
        <v>97</v>
      </c>
      <c r="B14" s="4" t="s">
        <v>23</v>
      </c>
      <c r="C14" s="18" t="n">
        <v>100</v>
      </c>
      <c r="D14" s="19"/>
      <c r="E14" s="20" t="n">
        <f aca="false">IF(D14&gt;0,D14,C14)</f>
        <v>100</v>
      </c>
      <c r="F14" s="21"/>
    </row>
    <row r="15" customFormat="false" ht="15" hidden="false" customHeight="false" outlineLevel="0" collapsed="false">
      <c r="A15" s="4" t="s">
        <v>98</v>
      </c>
      <c r="B15" s="4" t="s">
        <v>23</v>
      </c>
      <c r="C15" s="18" t="n">
        <v>150</v>
      </c>
      <c r="D15" s="19"/>
      <c r="E15" s="20" t="n">
        <f aca="false">IF(D15&gt;0,D15,C15)</f>
        <v>150</v>
      </c>
      <c r="F15" s="21"/>
    </row>
    <row r="16" customFormat="false" ht="15" hidden="false" customHeight="false" outlineLevel="0" collapsed="false">
      <c r="A16" s="4" t="s">
        <v>99</v>
      </c>
      <c r="B16" s="4" t="s">
        <v>23</v>
      </c>
      <c r="C16" s="18" t="n">
        <v>350</v>
      </c>
      <c r="D16" s="19"/>
      <c r="E16" s="20" t="n">
        <f aca="false">IF(D16&gt;0,D16,C16)</f>
        <v>350</v>
      </c>
      <c r="F16" s="21"/>
    </row>
    <row r="17" customFormat="false" ht="15" hidden="false" customHeight="false" outlineLevel="0" collapsed="false">
      <c r="A17" s="4" t="s">
        <v>100</v>
      </c>
      <c r="B17" s="4" t="s">
        <v>101</v>
      </c>
      <c r="C17" s="18" t="n">
        <v>1400</v>
      </c>
      <c r="D17" s="19"/>
      <c r="E17" s="20" t="n">
        <f aca="false">IF(D17&gt;0,D17,C17)</f>
        <v>1400</v>
      </c>
      <c r="F17" s="21" t="s">
        <v>102</v>
      </c>
    </row>
    <row r="18" customFormat="false" ht="15" hidden="false" customHeight="false" outlineLevel="0" collapsed="false">
      <c r="A18" s="4" t="s">
        <v>103</v>
      </c>
      <c r="B18" s="4" t="s">
        <v>47</v>
      </c>
      <c r="C18" s="18" t="n">
        <v>4200</v>
      </c>
      <c r="D18" s="19"/>
      <c r="E18" s="20" t="n">
        <f aca="false">IF(D18&gt;0,D18,C18)</f>
        <v>4200</v>
      </c>
      <c r="F18" s="21" t="s">
        <v>104</v>
      </c>
    </row>
    <row r="19" customFormat="false" ht="15" hidden="false" customHeight="false" outlineLevel="0" collapsed="false">
      <c r="A19" s="4" t="s">
        <v>49</v>
      </c>
      <c r="B19" s="4" t="s">
        <v>47</v>
      </c>
      <c r="C19" s="18" t="n">
        <v>350</v>
      </c>
      <c r="D19" s="19"/>
      <c r="E19" s="20" t="n">
        <f aca="false">IF(D19&gt;0,D19,C19)</f>
        <v>350</v>
      </c>
      <c r="F19" s="21"/>
    </row>
    <row r="20" customFormat="false" ht="15" hidden="false" customHeight="false" outlineLevel="0" collapsed="false">
      <c r="A20" s="4" t="s">
        <v>105</v>
      </c>
      <c r="B20" s="4" t="s">
        <v>47</v>
      </c>
      <c r="C20" s="18" t="n">
        <v>200</v>
      </c>
      <c r="D20" s="19"/>
      <c r="E20" s="20" t="n">
        <f aca="false">IF(D20&gt;0,D20,C20)</f>
        <v>200</v>
      </c>
      <c r="F20" s="21"/>
    </row>
    <row r="21" customFormat="false" ht="15" hidden="false" customHeight="false" outlineLevel="0" collapsed="false">
      <c r="A21" s="4" t="s">
        <v>106</v>
      </c>
      <c r="B21" s="4" t="s">
        <v>37</v>
      </c>
      <c r="C21" s="18" t="n">
        <v>250</v>
      </c>
      <c r="D21" s="19"/>
      <c r="E21" s="20" t="n">
        <f aca="false">IF(D21&gt;0,D21,C21)</f>
        <v>250</v>
      </c>
      <c r="F21" s="21"/>
    </row>
    <row r="22" customFormat="false" ht="15" hidden="false" customHeight="false" outlineLevel="0" collapsed="false">
      <c r="A22" s="4" t="s">
        <v>107</v>
      </c>
      <c r="B22" s="4" t="s">
        <v>37</v>
      </c>
      <c r="C22" s="18" t="n">
        <v>250</v>
      </c>
      <c r="D22" s="19"/>
      <c r="E22" s="20" t="n">
        <f aca="false">IF(D22&gt;0,D22,C22)</f>
        <v>250</v>
      </c>
      <c r="F22" s="21" t="s">
        <v>108</v>
      </c>
    </row>
    <row r="23" customFormat="false" ht="15" hidden="false" customHeight="false" outlineLevel="0" collapsed="false">
      <c r="A23" s="4" t="s">
        <v>109</v>
      </c>
      <c r="B23" s="4" t="s">
        <v>37</v>
      </c>
      <c r="C23" s="18" t="n">
        <v>50</v>
      </c>
      <c r="D23" s="19"/>
      <c r="E23" s="20" t="n">
        <f aca="false">IF(D23&gt;0,D23,C23)</f>
        <v>50</v>
      </c>
      <c r="F23" s="21" t="s">
        <v>110</v>
      </c>
    </row>
    <row r="24" customFormat="false" ht="15" hidden="false" customHeight="false" outlineLevel="0" collapsed="false">
      <c r="A24" s="4" t="s">
        <v>111</v>
      </c>
      <c r="B24" s="4" t="s">
        <v>37</v>
      </c>
      <c r="C24" s="18" t="n">
        <v>400</v>
      </c>
      <c r="D24" s="19"/>
      <c r="E24" s="20" t="n">
        <f aca="false">IF(D24&gt;0,D24,C24)</f>
        <v>400</v>
      </c>
      <c r="F24" s="21"/>
    </row>
    <row r="25" customFormat="false" ht="15" hidden="false" customHeight="false" outlineLevel="0" collapsed="false">
      <c r="A25" s="4" t="s">
        <v>112</v>
      </c>
      <c r="B25" s="4" t="s">
        <v>37</v>
      </c>
      <c r="C25" s="18" t="n">
        <v>120</v>
      </c>
      <c r="D25" s="19"/>
      <c r="E25" s="20" t="n">
        <f aca="false">IF(D25&gt;0,D25,C25)</f>
        <v>120</v>
      </c>
      <c r="F25" s="21"/>
    </row>
    <row r="26" customFormat="false" ht="15" hidden="false" customHeight="false" outlineLevel="0" collapsed="false">
      <c r="A26" s="4" t="s">
        <v>113</v>
      </c>
      <c r="B26" s="4" t="s">
        <v>43</v>
      </c>
      <c r="C26" s="18" t="n">
        <v>500</v>
      </c>
      <c r="D26" s="19"/>
      <c r="E26" s="20" t="n">
        <f aca="false">IF(D26&gt;0,D26,C26)</f>
        <v>500</v>
      </c>
      <c r="F26" s="21"/>
    </row>
    <row r="27" customFormat="false" ht="15" hidden="false" customHeight="false" outlineLevel="0" collapsed="false">
      <c r="A27" s="4" t="s">
        <v>114</v>
      </c>
      <c r="B27" s="4" t="s">
        <v>115</v>
      </c>
      <c r="C27" s="18" t="n">
        <v>500</v>
      </c>
      <c r="D27" s="19"/>
      <c r="E27" s="20" t="n">
        <f aca="false">IF(D27&gt;0,D27,C27)</f>
        <v>500</v>
      </c>
      <c r="F27" s="21" t="s">
        <v>116</v>
      </c>
    </row>
    <row r="28" customFormat="false" ht="15" hidden="false" customHeight="false" outlineLevel="0" collapsed="false">
      <c r="A28" s="4" t="s">
        <v>52</v>
      </c>
      <c r="B28" s="4" t="s">
        <v>53</v>
      </c>
      <c r="C28" s="18" t="n">
        <v>350</v>
      </c>
      <c r="D28" s="19"/>
      <c r="E28" s="20" t="n">
        <f aca="false">IF(D28&gt;0,D28,C28)</f>
        <v>350</v>
      </c>
      <c r="F28" s="21"/>
    </row>
    <row r="29" customFormat="false" ht="15" hidden="false" customHeight="false" outlineLevel="0" collapsed="false">
      <c r="A29" s="4" t="s">
        <v>117</v>
      </c>
      <c r="B29" s="4" t="s">
        <v>53</v>
      </c>
      <c r="C29" s="18" t="n">
        <v>60</v>
      </c>
      <c r="D29" s="19"/>
      <c r="E29" s="20" t="n">
        <f aca="false">IF(D29&gt;0,D29,C29)</f>
        <v>60</v>
      </c>
      <c r="F29" s="21" t="s">
        <v>118</v>
      </c>
    </row>
    <row r="30" customFormat="false" ht="15" hidden="false" customHeight="false" outlineLevel="0" collapsed="false">
      <c r="A30" s="4" t="s">
        <v>119</v>
      </c>
      <c r="B30" s="4" t="s">
        <v>120</v>
      </c>
      <c r="C30" s="18" t="n">
        <v>350</v>
      </c>
      <c r="D30" s="19"/>
      <c r="E30" s="20" t="n">
        <f aca="false">IF(D30&gt;0,D30,C30)</f>
        <v>350</v>
      </c>
      <c r="F30" s="21"/>
    </row>
    <row r="31" customFormat="false" ht="15" hidden="false" customHeight="false" outlineLevel="0" collapsed="false">
      <c r="A31" s="4" t="s">
        <v>121</v>
      </c>
      <c r="B31" s="4" t="s">
        <v>122</v>
      </c>
      <c r="C31" s="18" t="n">
        <v>200</v>
      </c>
      <c r="D31" s="19"/>
      <c r="E31" s="20" t="n">
        <f aca="false">IF(D31&gt;0,D31,C31)</f>
        <v>200</v>
      </c>
      <c r="F31" s="21"/>
    </row>
    <row r="32" customFormat="false" ht="15" hidden="false" customHeight="false" outlineLevel="0" collapsed="false">
      <c r="A32" s="4" t="s">
        <v>123</v>
      </c>
      <c r="B32" s="4" t="s">
        <v>124</v>
      </c>
      <c r="C32" s="18" t="n">
        <v>755</v>
      </c>
      <c r="D32" s="19"/>
      <c r="E32" s="20" t="n">
        <f aca="false">IF(D32&gt;0,D32,C32)</f>
        <v>755</v>
      </c>
      <c r="F32" s="21"/>
    </row>
    <row r="34" customFormat="false" ht="15" hidden="false" customHeight="false" outlineLevel="0" collapsed="false">
      <c r="A34" s="14" t="s">
        <v>125</v>
      </c>
      <c r="E34" s="22" t="n">
        <f aca="false">SUM(E5:E32)</f>
        <v>13015</v>
      </c>
    </row>
    <row r="35" customFormat="false" ht="15" hidden="false" customHeight="false" outlineLevel="0" collapsed="false">
      <c r="A35" s="16" t="s">
        <v>126</v>
      </c>
      <c r="C35" s="23" t="n">
        <v>0.3</v>
      </c>
      <c r="E35" s="24" t="n">
        <f aca="false">E34*C35</f>
        <v>3904.5</v>
      </c>
    </row>
    <row r="36" customFormat="false" ht="15" hidden="false" customHeight="false" outlineLevel="0" collapsed="false">
      <c r="A36" s="10" t="s">
        <v>127</v>
      </c>
      <c r="B36" s="11"/>
      <c r="C36" s="11"/>
      <c r="D36" s="11"/>
      <c r="E36" s="25" t="n">
        <f aca="false">E34+E35</f>
        <v>16919.5</v>
      </c>
      <c r="F36" s="11"/>
    </row>
    <row r="38" customFormat="false" ht="15" hidden="false" customHeight="false" outlineLevel="0" collapsed="false">
      <c r="A38" s="14" t="s">
        <v>128</v>
      </c>
    </row>
    <row r="39" customFormat="false" ht="15" hidden="false" customHeight="false" outlineLevel="0" collapsed="false">
      <c r="A39" s="3" t="s">
        <v>129</v>
      </c>
      <c r="B39" s="3" t="s">
        <v>130</v>
      </c>
      <c r="C39" s="3" t="s">
        <v>131</v>
      </c>
      <c r="D39" s="3" t="s">
        <v>132</v>
      </c>
      <c r="E39" s="3" t="s">
        <v>133</v>
      </c>
    </row>
    <row r="40" customFormat="false" ht="15" hidden="false" customHeight="false" outlineLevel="0" collapsed="false">
      <c r="A40" s="4" t="s">
        <v>134</v>
      </c>
      <c r="B40" s="18" t="n">
        <v>4200</v>
      </c>
      <c r="C40" s="20" t="n">
        <f aca="false">($E$34-4200+B40)*(1+$C$35)</f>
        <v>16919.5</v>
      </c>
      <c r="D40" s="8" t="n">
        <v>45</v>
      </c>
      <c r="E40" s="4" t="s">
        <v>135</v>
      </c>
    </row>
    <row r="41" customFormat="false" ht="15" hidden="false" customHeight="false" outlineLevel="0" collapsed="false">
      <c r="A41" s="4" t="s">
        <v>136</v>
      </c>
      <c r="B41" s="18" t="n">
        <v>2500</v>
      </c>
      <c r="C41" s="20" t="n">
        <f aca="false">($E$34-4200+B41)*(1+$C$35)</f>
        <v>14709.5</v>
      </c>
      <c r="D41" s="8" t="n">
        <v>45</v>
      </c>
      <c r="E41" s="4" t="s">
        <v>135</v>
      </c>
    </row>
    <row r="42" customFormat="false" ht="15" hidden="false" customHeight="false" outlineLevel="0" collapsed="false">
      <c r="A42" s="4" t="s">
        <v>137</v>
      </c>
      <c r="B42" s="18" t="n">
        <v>1200</v>
      </c>
      <c r="C42" s="20" t="n">
        <f aca="false">($E$34-4200+B42)*(1+$C$35)</f>
        <v>13019.5</v>
      </c>
      <c r="D42" s="8" t="n">
        <v>62</v>
      </c>
      <c r="E42" s="4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3"/>
    <col collapsed="false" customWidth="true" hidden="false" outlineLevel="0" max="6" min="6" style="0" width="30"/>
  </cols>
  <sheetData>
    <row r="1" customFormat="false" ht="16.15" hidden="false" customHeight="false" outlineLevel="0" collapsed="false">
      <c r="A1" s="1" t="s">
        <v>139</v>
      </c>
    </row>
    <row r="2" customFormat="false" ht="15" hidden="false" customHeight="false" outlineLevel="0" collapsed="false">
      <c r="A2" s="2" t="s">
        <v>140</v>
      </c>
    </row>
    <row r="4" customFormat="false" ht="15" hidden="false" customHeight="false" outlineLevel="0" collapsed="false">
      <c r="A4" s="3" t="s">
        <v>141</v>
      </c>
      <c r="B4" s="3" t="s">
        <v>142</v>
      </c>
      <c r="C4" s="3" t="s">
        <v>143</v>
      </c>
      <c r="D4" s="3" t="s">
        <v>144</v>
      </c>
      <c r="E4" s="3" t="s">
        <v>145</v>
      </c>
      <c r="F4" s="3" t="s">
        <v>84</v>
      </c>
    </row>
    <row r="5" customFormat="false" ht="15" hidden="false" customHeight="false" outlineLevel="0" collapsed="false">
      <c r="A5" s="4" t="s">
        <v>146</v>
      </c>
      <c r="B5" s="4" t="s">
        <v>23</v>
      </c>
      <c r="C5" s="8" t="n">
        <v>130</v>
      </c>
      <c r="D5" s="26"/>
      <c r="E5" s="27" t="n">
        <f aca="false">IF(D5&gt;0,D5,C5)</f>
        <v>130</v>
      </c>
      <c r="F5" s="21" t="s">
        <v>147</v>
      </c>
    </row>
    <row r="6" customFormat="false" ht="15" hidden="false" customHeight="false" outlineLevel="0" collapsed="false">
      <c r="A6" s="4" t="s">
        <v>148</v>
      </c>
      <c r="B6" s="4" t="s">
        <v>23</v>
      </c>
      <c r="C6" s="8" t="n">
        <v>40</v>
      </c>
      <c r="D6" s="26"/>
      <c r="E6" s="27" t="n">
        <f aca="false">IF(D6&gt;0,D6,C6)</f>
        <v>40</v>
      </c>
      <c r="F6" s="21"/>
    </row>
    <row r="7" customFormat="false" ht="15" hidden="false" customHeight="false" outlineLevel="0" collapsed="false">
      <c r="A7" s="4" t="s">
        <v>149</v>
      </c>
      <c r="B7" s="4" t="s">
        <v>33</v>
      </c>
      <c r="C7" s="8" t="n">
        <v>55</v>
      </c>
      <c r="D7" s="26"/>
      <c r="E7" s="27" t="n">
        <f aca="false">IF(D7&gt;0,D7,C7)</f>
        <v>55</v>
      </c>
      <c r="F7" s="21"/>
    </row>
    <row r="8" customFormat="false" ht="15" hidden="false" customHeight="false" outlineLevel="0" collapsed="false">
      <c r="A8" s="4" t="s">
        <v>150</v>
      </c>
      <c r="B8" s="4" t="s">
        <v>13</v>
      </c>
      <c r="C8" s="8" t="n">
        <v>90</v>
      </c>
      <c r="D8" s="26"/>
      <c r="E8" s="27" t="n">
        <f aca="false">IF(D8&gt;0,D8,C8)</f>
        <v>90</v>
      </c>
      <c r="F8" s="21"/>
    </row>
    <row r="9" customFormat="false" ht="15" hidden="false" customHeight="false" outlineLevel="0" collapsed="false">
      <c r="A9" s="4" t="s">
        <v>151</v>
      </c>
      <c r="B9" s="4" t="s">
        <v>13</v>
      </c>
      <c r="C9" s="8" t="n">
        <v>45</v>
      </c>
      <c r="D9" s="26"/>
      <c r="E9" s="27" t="n">
        <f aca="false">IF(D9&gt;0,D9,C9)</f>
        <v>45</v>
      </c>
      <c r="F9" s="21" t="s">
        <v>152</v>
      </c>
    </row>
    <row r="10" customFormat="false" ht="15" hidden="false" customHeight="false" outlineLevel="0" collapsed="false">
      <c r="A10" s="4" t="s">
        <v>153</v>
      </c>
      <c r="B10" s="4" t="s">
        <v>13</v>
      </c>
      <c r="C10" s="8" t="n">
        <v>45</v>
      </c>
      <c r="D10" s="26"/>
      <c r="E10" s="27" t="n">
        <f aca="false">IF(D10&gt;0,D10,C10)</f>
        <v>45</v>
      </c>
      <c r="F10" s="21"/>
    </row>
    <row r="11" customFormat="false" ht="15" hidden="false" customHeight="false" outlineLevel="0" collapsed="false">
      <c r="A11" s="4" t="s">
        <v>154</v>
      </c>
      <c r="B11" s="4" t="s">
        <v>13</v>
      </c>
      <c r="C11" s="8" t="n">
        <v>50</v>
      </c>
      <c r="D11" s="26"/>
      <c r="E11" s="27" t="n">
        <f aca="false">IF(D11&gt;0,D11,C11)</f>
        <v>50</v>
      </c>
      <c r="F11" s="21"/>
    </row>
    <row r="12" customFormat="false" ht="15" hidden="false" customHeight="false" outlineLevel="0" collapsed="false">
      <c r="A12" s="4" t="s">
        <v>155</v>
      </c>
      <c r="B12" s="4" t="s">
        <v>13</v>
      </c>
      <c r="C12" s="8" t="n">
        <v>30</v>
      </c>
      <c r="D12" s="26"/>
      <c r="E12" s="27" t="n">
        <f aca="false">IF(D12&gt;0,D12,C12)</f>
        <v>30</v>
      </c>
      <c r="F12" s="21" t="s">
        <v>156</v>
      </c>
    </row>
    <row r="13" customFormat="false" ht="15" hidden="false" customHeight="false" outlineLevel="0" collapsed="false">
      <c r="A13" s="4" t="s">
        <v>157</v>
      </c>
      <c r="B13" s="4" t="s">
        <v>13</v>
      </c>
      <c r="C13" s="8" t="n">
        <v>35</v>
      </c>
      <c r="D13" s="26"/>
      <c r="E13" s="27" t="n">
        <f aca="false">IF(D13&gt;0,D13,C13)</f>
        <v>35</v>
      </c>
      <c r="F13" s="21" t="s">
        <v>158</v>
      </c>
    </row>
    <row r="14" customFormat="false" ht="15" hidden="false" customHeight="false" outlineLevel="0" collapsed="false">
      <c r="A14" s="4" t="s">
        <v>159</v>
      </c>
      <c r="B14" s="4" t="s">
        <v>37</v>
      </c>
      <c r="C14" s="8" t="n">
        <v>50</v>
      </c>
      <c r="D14" s="26"/>
      <c r="E14" s="27" t="n">
        <f aca="false">IF(D14&gt;0,D14,C14)</f>
        <v>50</v>
      </c>
      <c r="F14" s="21"/>
    </row>
    <row r="15" customFormat="false" ht="15" hidden="false" customHeight="false" outlineLevel="0" collapsed="false">
      <c r="A15" s="4" t="s">
        <v>160</v>
      </c>
      <c r="B15" s="4" t="s">
        <v>37</v>
      </c>
      <c r="C15" s="8" t="n">
        <v>20</v>
      </c>
      <c r="D15" s="26"/>
      <c r="E15" s="27" t="n">
        <f aca="false">IF(D15&gt;0,D15,C15)</f>
        <v>20</v>
      </c>
      <c r="F15" s="21"/>
    </row>
    <row r="16" customFormat="false" ht="15" hidden="false" customHeight="false" outlineLevel="0" collapsed="false">
      <c r="A16" s="4" t="s">
        <v>161</v>
      </c>
      <c r="B16" s="4" t="s">
        <v>43</v>
      </c>
      <c r="C16" s="8" t="n">
        <v>40</v>
      </c>
      <c r="D16" s="26"/>
      <c r="E16" s="27" t="n">
        <f aca="false">IF(D16&gt;0,D16,C16)</f>
        <v>40</v>
      </c>
      <c r="F16" s="21"/>
    </row>
    <row r="17" customFormat="false" ht="15" hidden="false" customHeight="false" outlineLevel="0" collapsed="false">
      <c r="A17" s="4" t="s">
        <v>162</v>
      </c>
      <c r="B17" s="4" t="s">
        <v>43</v>
      </c>
      <c r="C17" s="8" t="n">
        <v>25</v>
      </c>
      <c r="D17" s="26"/>
      <c r="E17" s="27" t="n">
        <f aca="false">IF(D17&gt;0,D17,C17)</f>
        <v>25</v>
      </c>
      <c r="F17" s="21"/>
    </row>
    <row r="18" customFormat="false" ht="15" hidden="false" customHeight="false" outlineLevel="0" collapsed="false">
      <c r="A18" s="4" t="s">
        <v>163</v>
      </c>
      <c r="B18" s="4" t="s">
        <v>47</v>
      </c>
      <c r="C18" s="8" t="n">
        <v>55</v>
      </c>
      <c r="D18" s="26"/>
      <c r="E18" s="27" t="n">
        <f aca="false">IF(D18&gt;0,D18,C18)</f>
        <v>55</v>
      </c>
      <c r="F18" s="21"/>
    </row>
    <row r="19" customFormat="false" ht="15" hidden="false" customHeight="false" outlineLevel="0" collapsed="false">
      <c r="A19" s="4" t="s">
        <v>164</v>
      </c>
      <c r="B19" s="4" t="s">
        <v>165</v>
      </c>
      <c r="C19" s="8" t="n">
        <v>120</v>
      </c>
      <c r="D19" s="26"/>
      <c r="E19" s="27" t="n">
        <f aca="false">IF(D19&gt;0,D19,C19)</f>
        <v>120</v>
      </c>
      <c r="F19" s="21" t="s">
        <v>166</v>
      </c>
    </row>
    <row r="20" customFormat="false" ht="15" hidden="false" customHeight="false" outlineLevel="0" collapsed="false">
      <c r="A20" s="4" t="s">
        <v>167</v>
      </c>
      <c r="B20" s="4" t="s">
        <v>168</v>
      </c>
      <c r="C20" s="8" t="n">
        <v>75</v>
      </c>
      <c r="D20" s="26"/>
      <c r="E20" s="27" t="n">
        <f aca="false">IF(D20&gt;0,D20,C20)</f>
        <v>75</v>
      </c>
      <c r="F20" s="21"/>
    </row>
    <row r="21" customFormat="false" ht="15" hidden="false" customHeight="false" outlineLevel="0" collapsed="false">
      <c r="A21" s="4" t="s">
        <v>169</v>
      </c>
      <c r="B21" s="4" t="s">
        <v>126</v>
      </c>
      <c r="C21" s="8" t="n">
        <v>85</v>
      </c>
      <c r="D21" s="26"/>
      <c r="E21" s="27" t="n">
        <f aca="false">IF(D21&gt;0,D21,C21)</f>
        <v>85</v>
      </c>
      <c r="F21" s="21"/>
    </row>
    <row r="23" customFormat="false" ht="15" hidden="false" customHeight="false" outlineLevel="0" collapsed="false">
      <c r="A23" s="14" t="s">
        <v>170</v>
      </c>
      <c r="E23" s="14" t="n">
        <f aca="false">SUM(E5:E21)</f>
        <v>990</v>
      </c>
    </row>
    <row r="24" customFormat="false" ht="15" hidden="false" customHeight="false" outlineLevel="0" collapsed="false">
      <c r="A24" s="16" t="s">
        <v>171</v>
      </c>
      <c r="C24" s="23" t="n">
        <v>0.7</v>
      </c>
      <c r="F24" s="2" t="s">
        <v>172</v>
      </c>
    </row>
    <row r="25" customFormat="false" ht="15" hidden="false" customHeight="false" outlineLevel="0" collapsed="false">
      <c r="A25" s="10" t="s">
        <v>173</v>
      </c>
      <c r="B25" s="11"/>
      <c r="C25" s="11"/>
      <c r="D25" s="11"/>
      <c r="E25" s="28" t="n">
        <f aca="false">E23*C24</f>
        <v>693</v>
      </c>
      <c r="F25" s="11"/>
    </row>
    <row r="27" customFormat="false" ht="15" hidden="false" customHeight="false" outlineLevel="0" collapsed="false">
      <c r="A27" s="16" t="s">
        <v>174</v>
      </c>
      <c r="C27" s="17" t="n">
        <v>12</v>
      </c>
    </row>
    <row r="28" customFormat="false" ht="15" hidden="false" customHeight="false" outlineLevel="0" collapsed="false">
      <c r="A28" s="14" t="s">
        <v>175</v>
      </c>
      <c r="C28" s="29" t="n">
        <f aca="false">E25/C27/52</f>
        <v>1.11057692307692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5"/>
    <col collapsed="false" customWidth="true" hidden="false" outlineLevel="0" max="3" min="3" style="0" width="52"/>
  </cols>
  <sheetData>
    <row r="1" customFormat="false" ht="16.15" hidden="false" customHeight="false" outlineLevel="0" collapsed="false">
      <c r="A1" s="1" t="s">
        <v>176</v>
      </c>
    </row>
    <row r="4" customFormat="false" ht="15" hidden="false" customHeight="false" outlineLevel="0" collapsed="false">
      <c r="A4" s="14" t="s">
        <v>177</v>
      </c>
    </row>
    <row r="5" customFormat="false" ht="15" hidden="false" customHeight="false" outlineLevel="0" collapsed="false">
      <c r="A5" s="16" t="s">
        <v>178</v>
      </c>
      <c r="B5" s="30" t="n">
        <v>31</v>
      </c>
      <c r="C5" s="2" t="s">
        <v>179</v>
      </c>
    </row>
    <row r="6" customFormat="false" ht="15" hidden="false" customHeight="false" outlineLevel="0" collapsed="false">
      <c r="A6" s="16" t="s">
        <v>180</v>
      </c>
      <c r="B6" s="30" t="n">
        <v>130</v>
      </c>
      <c r="C6" s="2" t="s">
        <v>181</v>
      </c>
    </row>
    <row r="7" customFormat="false" ht="15" hidden="false" customHeight="false" outlineLevel="0" collapsed="false">
      <c r="A7" s="16" t="s">
        <v>182</v>
      </c>
      <c r="B7" s="30" t="n">
        <v>0.45</v>
      </c>
      <c r="C7" s="2" t="s">
        <v>183</v>
      </c>
    </row>
    <row r="8" customFormat="false" ht="15" hidden="false" customHeight="false" outlineLevel="0" collapsed="false">
      <c r="A8" s="16" t="s">
        <v>184</v>
      </c>
      <c r="B8" s="30" t="n">
        <v>0.85</v>
      </c>
      <c r="C8" s="2"/>
    </row>
    <row r="9" customFormat="false" ht="15" hidden="false" customHeight="false" outlineLevel="0" collapsed="false">
      <c r="A9" s="16" t="s">
        <v>185</v>
      </c>
      <c r="B9" s="30" t="n">
        <v>1.4</v>
      </c>
      <c r="C9" s="2" t="s">
        <v>186</v>
      </c>
    </row>
    <row r="10" customFormat="false" ht="15" hidden="false" customHeight="false" outlineLevel="0" collapsed="false">
      <c r="A10" s="16" t="s">
        <v>187</v>
      </c>
      <c r="B10" s="30" t="n">
        <v>28</v>
      </c>
      <c r="C10" s="2" t="s">
        <v>188</v>
      </c>
    </row>
    <row r="11" customFormat="false" ht="15" hidden="false" customHeight="false" outlineLevel="0" collapsed="false">
      <c r="A11" s="16" t="s">
        <v>189</v>
      </c>
      <c r="B11" s="30" t="n">
        <v>0.75</v>
      </c>
      <c r="C11" s="2" t="s">
        <v>190</v>
      </c>
    </row>
    <row r="12" customFormat="false" ht="15" hidden="false" customHeight="false" outlineLevel="0" collapsed="false">
      <c r="A12" s="16" t="s">
        <v>191</v>
      </c>
      <c r="B12" s="30" t="n">
        <v>0.72</v>
      </c>
      <c r="C12" s="2"/>
    </row>
    <row r="13" customFormat="false" ht="15" hidden="false" customHeight="false" outlineLevel="0" collapsed="false">
      <c r="A13" s="16" t="s">
        <v>192</v>
      </c>
      <c r="B13" s="30" t="n">
        <v>211</v>
      </c>
      <c r="C13" s="2" t="s">
        <v>193</v>
      </c>
    </row>
    <row r="14" customFormat="false" ht="15" hidden="false" customHeight="false" outlineLevel="0" collapsed="false">
      <c r="A14" s="16" t="s">
        <v>194</v>
      </c>
      <c r="B14" s="30" t="n">
        <v>0.1</v>
      </c>
      <c r="C14" s="2" t="s">
        <v>195</v>
      </c>
    </row>
    <row r="15" customFormat="false" ht="15" hidden="false" customHeight="false" outlineLevel="0" collapsed="false">
      <c r="A15" s="16" t="s">
        <v>196</v>
      </c>
      <c r="B15" s="30" t="n">
        <v>50</v>
      </c>
      <c r="C15" s="2"/>
    </row>
    <row r="16" customFormat="false" ht="15" hidden="false" customHeight="false" outlineLevel="0" collapsed="false">
      <c r="A16" s="16" t="s">
        <v>197</v>
      </c>
      <c r="B16" s="30" t="n">
        <v>1.4</v>
      </c>
      <c r="C16" s="2" t="s">
        <v>198</v>
      </c>
    </row>
    <row r="17" customFormat="false" ht="15" hidden="false" customHeight="false" outlineLevel="0" collapsed="false">
      <c r="A17" s="16" t="s">
        <v>199</v>
      </c>
      <c r="B17" s="30" t="n">
        <v>5</v>
      </c>
      <c r="C17" s="2"/>
    </row>
    <row r="18" customFormat="false" ht="15" hidden="false" customHeight="false" outlineLevel="0" collapsed="false">
      <c r="A18" s="16" t="s">
        <v>200</v>
      </c>
      <c r="B18" s="30" t="n">
        <v>170</v>
      </c>
      <c r="C18" s="2"/>
    </row>
    <row r="19" customFormat="false" ht="15" hidden="false" customHeight="false" outlineLevel="0" collapsed="false">
      <c r="A19" s="16" t="s">
        <v>201</v>
      </c>
      <c r="B19" s="30" t="n">
        <v>30</v>
      </c>
      <c r="C19" s="2"/>
    </row>
    <row r="21" customFormat="false" ht="15" hidden="false" customHeight="false" outlineLevel="0" collapsed="false">
      <c r="A21" s="14" t="s">
        <v>202</v>
      </c>
    </row>
    <row r="22" customFormat="false" ht="15" hidden="false" customHeight="false" outlineLevel="0" collapsed="false">
      <c r="A22" s="16" t="s">
        <v>203</v>
      </c>
      <c r="B22" s="31" t="n">
        <f aca="false">Weight!$E$46+$B$18+$B$19</f>
        <v>496</v>
      </c>
    </row>
    <row r="23" customFormat="false" ht="15" hidden="false" customHeight="false" outlineLevel="0" collapsed="false">
      <c r="A23" s="16" t="s">
        <v>204</v>
      </c>
      <c r="B23" s="32" t="n">
        <f aca="false">$B$22*4.44822</f>
        <v>2206.31712</v>
      </c>
    </row>
    <row r="24" customFormat="false" ht="15" hidden="false" customHeight="false" outlineLevel="0" collapsed="false">
      <c r="A24" s="16" t="s">
        <v>205</v>
      </c>
      <c r="B24" s="33" t="n">
        <f aca="false">$B$5*0.3048</f>
        <v>9.4488</v>
      </c>
    </row>
    <row r="25" customFormat="false" ht="15" hidden="false" customHeight="false" outlineLevel="0" collapsed="false">
      <c r="A25" s="16" t="s">
        <v>206</v>
      </c>
      <c r="B25" s="33" t="n">
        <f aca="false">$B$6*0.092903</f>
        <v>12.07739</v>
      </c>
    </row>
    <row r="26" customFormat="false" ht="15" hidden="false" customHeight="false" outlineLevel="0" collapsed="false">
      <c r="A26" s="16" t="s">
        <v>207</v>
      </c>
      <c r="B26" s="31" t="n">
        <f aca="false">0.5*SQRT(PI()*$B$24^2*$B$8/$B$7)</f>
        <v>11.5086611461218</v>
      </c>
      <c r="C26" s="2" t="s">
        <v>208</v>
      </c>
    </row>
    <row r="27" customFormat="false" ht="15" hidden="false" customHeight="false" outlineLevel="0" collapsed="false">
      <c r="A27" s="16" t="s">
        <v>209</v>
      </c>
      <c r="B27" s="31" t="n">
        <f aca="false">SQRT(2*$B$23/(1.225*$B$25*$B$9))*2.23694</f>
        <v>32.6501133421161</v>
      </c>
      <c r="C27" s="2" t="s">
        <v>210</v>
      </c>
    </row>
    <row r="28" customFormat="false" ht="15" hidden="false" customHeight="false" outlineLevel="0" collapsed="false">
      <c r="A28" s="16" t="s">
        <v>211</v>
      </c>
      <c r="B28" s="33" t="n">
        <f aca="false">$B$27/2.23694*1.15</f>
        <v>16.7852648454735</v>
      </c>
    </row>
    <row r="29" customFormat="false" ht="15" hidden="false" customHeight="false" outlineLevel="0" collapsed="false">
      <c r="A29" s="16" t="s">
        <v>212</v>
      </c>
      <c r="B29" s="33" t="n">
        <f aca="false">9.81*(0.85*$B$13/$B$22-$B$14)</f>
        <v>2.5662247983871</v>
      </c>
    </row>
    <row r="30" customFormat="false" ht="15" hidden="false" customHeight="false" outlineLevel="0" collapsed="false">
      <c r="A30" s="16" t="s">
        <v>213</v>
      </c>
      <c r="B30" s="32" t="n">
        <f aca="false">$B$28^2/(2*$B$29)*3.28084</f>
        <v>180.101261342649</v>
      </c>
      <c r="C30" s="2" t="s">
        <v>214</v>
      </c>
    </row>
    <row r="31" customFormat="false" ht="15" hidden="false" customHeight="false" outlineLevel="0" collapsed="false">
      <c r="A31" s="16" t="s">
        <v>215</v>
      </c>
      <c r="B31" s="33" t="n">
        <f aca="false">$B$15/2.23694</f>
        <v>22.3519629493862</v>
      </c>
    </row>
    <row r="32" customFormat="false" ht="15" hidden="false" customHeight="false" outlineLevel="0" collapsed="false">
      <c r="A32" s="16" t="s">
        <v>216</v>
      </c>
      <c r="B32" s="32" t="n">
        <f aca="false">0.5*1.225*$B$31^3*$B$7</f>
        <v>3077.97872360811</v>
      </c>
    </row>
    <row r="33" customFormat="false" ht="15" hidden="false" customHeight="false" outlineLevel="0" collapsed="false">
      <c r="A33" s="16" t="s">
        <v>217</v>
      </c>
      <c r="B33" s="32" t="n">
        <f aca="false">2*$B$23^2/(1.225*$B$31*PI()*$B$24^2*$B$8)</f>
        <v>1491.39264341685</v>
      </c>
    </row>
    <row r="34" customFormat="false" ht="15" hidden="false" customHeight="false" outlineLevel="0" collapsed="false">
      <c r="A34" s="16" t="s">
        <v>218</v>
      </c>
      <c r="B34" s="31" t="n">
        <f aca="false">($B$32+$B$33)/$B$11/745.7</f>
        <v>8.17016917799823</v>
      </c>
    </row>
    <row r="35" customFormat="false" ht="15" hidden="false" customHeight="false" outlineLevel="0" collapsed="false">
      <c r="A35" s="16" t="s">
        <v>219</v>
      </c>
      <c r="B35" s="33" t="n">
        <f aca="false">$B$28*1.15</f>
        <v>19.3030545722945</v>
      </c>
    </row>
    <row r="36" customFormat="false" ht="15" hidden="false" customHeight="false" outlineLevel="0" collapsed="false">
      <c r="A36" s="16" t="s">
        <v>220</v>
      </c>
      <c r="B36" s="32" t="n">
        <f aca="false">0.5*1.225*$B$35^3*$B$7+2*$B$23^2/(1.225*$B$35*PI()*$B$24^2*$B$8)</f>
        <v>3709.38220988447</v>
      </c>
    </row>
    <row r="37" customFormat="false" ht="15" hidden="false" customHeight="false" outlineLevel="0" collapsed="false">
      <c r="A37" s="16" t="s">
        <v>221</v>
      </c>
      <c r="B37" s="32" t="n">
        <f aca="false">($B$10*745.7*$B$12-$B$36)/$B$23*196.85</f>
        <v>1010.33326486822</v>
      </c>
    </row>
    <row r="38" customFormat="false" ht="15" hidden="false" customHeight="false" outlineLevel="0" collapsed="false">
      <c r="A38" s="16" t="s">
        <v>222</v>
      </c>
      <c r="B38" s="31" t="n">
        <f aca="false">$B$17/$B$16</f>
        <v>3.57142857142857</v>
      </c>
    </row>
    <row r="39" customFormat="false" ht="15" hidden="false" customHeight="false" outlineLevel="0" collapsed="false">
      <c r="A39" s="16" t="s">
        <v>223</v>
      </c>
      <c r="B39" s="32" t="n">
        <f aca="false">$B$38*$B$15</f>
        <v>178.571428571429</v>
      </c>
      <c r="C39" s="2" t="s">
        <v>224</v>
      </c>
    </row>
    <row r="40" customFormat="false" ht="15" hidden="false" customHeight="false" outlineLevel="0" collapsed="false">
      <c r="A40" s="16" t="s">
        <v>225</v>
      </c>
      <c r="B40" s="33" t="n">
        <f aca="false">$B$22/$B$6</f>
        <v>3.81538461538462</v>
      </c>
    </row>
    <row r="41" customFormat="false" ht="15" hidden="false" customHeight="false" outlineLevel="0" collapsed="false">
      <c r="A41" s="16" t="s">
        <v>226</v>
      </c>
      <c r="B41" s="33" t="n">
        <f aca="false">$B$22/$B$10</f>
        <v>17.7142857142857</v>
      </c>
    </row>
    <row r="42" customFormat="false" ht="15" hidden="false" customHeight="false" outlineLevel="0" collapsed="false">
      <c r="A42" s="16" t="s">
        <v>227</v>
      </c>
      <c r="B42" s="31" t="n">
        <f aca="false">$B$26*1000/5280</f>
        <v>2.17967067161397</v>
      </c>
    </row>
    <row r="44" customFormat="false" ht="15" hidden="false" customHeight="false" outlineLevel="0" collapsed="false">
      <c r="A44" s="2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D7045C27BC6741BD2EEA1E35C73B2D" ma:contentTypeVersion="18" ma:contentTypeDescription="Create a new document." ma:contentTypeScope="" ma:versionID="89dc496f5fc257a0c9b2b32ff3dc951a">
  <xsd:schema xmlns:xsd="http://www.w3.org/2001/XMLSchema" xmlns:xs="http://www.w3.org/2001/XMLSchema" xmlns:p="http://schemas.microsoft.com/office/2006/metadata/properties" xmlns:ns2="99998d39-abc3-4c9b-b21e-b7e2695ab459" xmlns:ns3="9a3f574d-2c03-4861-978e-af3ad2eafb63" targetNamespace="http://schemas.microsoft.com/office/2006/metadata/properties" ma:root="true" ma:fieldsID="6e83d7cfc94ad086a3a723eb39fc62fd" ns2:_="" ns3:_="">
    <xsd:import namespace="99998d39-abc3-4c9b-b21e-b7e2695ab459"/>
    <xsd:import namespace="9a3f574d-2c03-4861-978e-af3ad2eafb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98d39-abc3-4c9b-b21e-b7e2695ab4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45606a7-25f0-49f9-8d24-c3fac55488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3f574d-2c03-4861-978e-af3ad2eafb6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4a258fe-3a2a-4915-b524-385395646d27}" ma:internalName="TaxCatchAll" ma:showField="CatchAllData" ma:web="9a3f574d-2c03-4861-978e-af3ad2eafb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a3f574d-2c03-4861-978e-af3ad2eafb63" xsi:nil="true"/>
    <lcf76f155ced4ddcb4097134ff3c332f xmlns="99998d39-abc3-4c9b-b21e-b7e2695ab4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9D6C78-A5EE-4312-8747-75744B2719E3}"/>
</file>

<file path=customXml/itemProps2.xml><?xml version="1.0" encoding="utf-8"?>
<ds:datastoreItem xmlns:ds="http://schemas.openxmlformats.org/officeDocument/2006/customXml" ds:itemID="{E8AD14B1-6FD3-4541-B052-9FAE7C4F1527}"/>
</file>

<file path=customXml/itemProps3.xml><?xml version="1.0" encoding="utf-8"?>
<ds:datastoreItem xmlns:ds="http://schemas.openxmlformats.org/officeDocument/2006/customXml" ds:itemID="{5ECB72D7-192F-46F3-8E8E-63B13263D61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2026-08-05T22:09:39Z</dcterms:created>
  <dcterms:modified xsi:type="dcterms:W3CDTF">2026-08-05T22:09:39Z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0x0101005BD7045C27BC6741BD2EEA1E35C73B2D</vt:lpwstr>
  </property>
</Properties>
</file>